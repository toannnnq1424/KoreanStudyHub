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90326e762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dacbd7275024908"/>
    <x:sheet xmlns:r="http://schemas.openxmlformats.org/officeDocument/2006/relationships" name="Roadmap" sheetId="2" r:id="R6ce4bd02fd604422"/>
    <x:sheet xmlns:r="http://schemas.openxmlformats.org/officeDocument/2006/relationships" name="Phase 13D Gate" sheetId="3" r:id="Ref229ec0e05944ee"/>
    <x:sheet xmlns:r="http://schemas.openxmlformats.org/officeDocument/2006/relationships" name="Bug Register" sheetId="4" r:id="R0c648f3ad8c24a8c"/>
    <x:sheet xmlns:r="http://schemas.openxmlformats.org/officeDocument/2006/relationships" name="Phase 15 Inventory" sheetId="5" r:id="R424043aec0de4c85"/>
    <x:sheet xmlns:r="http://schemas.openxmlformats.org/officeDocument/2006/relationships" name="Jira Import" sheetId="6" r:id="R0743b9b632894394"/>
    <x:sheet xmlns:r="http://schemas.openxmlformats.org/officeDocument/2006/relationships" name="Sources" sheetId="7" r:id="Rf9d6ee594542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475569"/>
      <x:name val="Aptos"/>
    </x:font>
    <x:font>
      <x:b/>
      <x:sz val="10"/>
      <x:color rgb="FFFFFFFF"/>
      <x:name val="Carlito"/>
    </x:font>
    <x:font>
      <x:b/>
      <x:sz val="20"/>
      <x:color rgb="FF16324F"/>
      <x:name val="Carlito"/>
    </x:font>
    <x:font>
      <x:b/>
      <x:sz val="12"/>
      <x:color rgb="FFFFFFFF"/>
      <x:name val="Carlito"/>
    </x:font>
    <x:font>
      <x:b/>
      <x:sz val="10"/>
      <x:color rgb="FFFFFFFF"/>
      <x:name val="Aptos"/>
    </x:font>
    <x:font>
      <x:sz val="9"/>
      <x:color rgb="FF1F2937"/>
      <x:name val="Aptos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A"/>
      </x:patternFill>
    </x:fill>
    <x:fill>
      <x:patternFill patternType="solid">
        <x:fgColor rgb="FF245B8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9FB6CC"/>
      </x:right>
    </x:border>
    <x:border>
      <x:left style="thin">
        <x:color rgb="FF9FB6CC"/>
      </x:left>
      <x:right style="thin">
        <x:color rgb="FF9FB6CC"/>
      </x:right>
    </x:border>
    <x:border>
      <x:left style="thin">
        <x:color rgb="FF9FB6CC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9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CE7D6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475569"/>
      </x:font>
      <x:fill>
        <x:patternFill patternType="solid">
          <x:bgColor rgb="FFEEF1F4"/>
        </x:patternFill>
      </x:fill>
    </x:dxf>
    <x:dxf>
      <x:font>
        <x:b/>
        <x:color rgb="FF245B8A"/>
      </x:font>
      <x:fill>
        <x:patternFill patternType="solid">
          <x:bgColor rgb="FFE8F1FA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CE7D6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CE7D6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475569"/>
      </x:font>
      <x:fill>
        <x:patternFill patternType="solid">
          <x:bgColor rgb="FFEEF1F4"/>
        </x:patternFill>
      </x:fill>
    </x:dxf>
    <x:dxf>
      <x:font>
        <x:b/>
        <x:color rgb="FF245B8A"/>
      </x:font>
      <x:fill>
        <x:patternFill patternType="solid">
          <x:bgColor rgb="FFE8F1FA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CE7D6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475569"/>
      </x:font>
      <x:fill>
        <x:patternFill patternType="solid">
          <x:bgColor rgb="FFEEF1F4"/>
        </x:patternFill>
      </x:fill>
    </x:dxf>
    <x:dxf>
      <x:font>
        <x:b/>
        <x:color rgb="FF245B8A"/>
      </x:font>
      <x:fill>
        <x:patternFill patternType="solid">
          <x:bgColor rgb="FFE8F1FA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7fb64db974043" /><Relationship Type="http://schemas.openxmlformats.org/officeDocument/2006/relationships/theme" Target="/xl/theme/theme1.xml" Id="R47da55c32a3c41c9" /><Relationship Type="http://schemas.openxmlformats.org/officeDocument/2006/relationships/sharedStrings" Target="/xl/sharedStrings.xml" Id="Raa7aef94d92b41a9" /><Relationship Type="http://schemas.openxmlformats.org/officeDocument/2006/relationships/worksheet" Target="/xl/worksheets/sheet1.xml" Id="R3dacbd7275024908" /><Relationship Type="http://schemas.openxmlformats.org/officeDocument/2006/relationships/worksheet" Target="/xl/worksheets/sheet2.xml" Id="R6ce4bd02fd604422" /><Relationship Type="http://schemas.openxmlformats.org/officeDocument/2006/relationships/worksheet" Target="/xl/worksheets/sheet3.xml" Id="Ref229ec0e05944ee" /><Relationship Type="http://schemas.openxmlformats.org/officeDocument/2006/relationships/worksheet" Target="/xl/worksheets/sheet4.xml" Id="R0c648f3ad8c24a8c" /><Relationship Type="http://schemas.openxmlformats.org/officeDocument/2006/relationships/worksheet" Target="/xl/worksheets/sheet5.xml" Id="R424043aec0de4c85" /><Relationship Type="http://schemas.openxmlformats.org/officeDocument/2006/relationships/worksheet" Target="/xl/worksheets/sheet6.xml" Id="R0743b9b632894394" /><Relationship Type="http://schemas.openxmlformats.org/officeDocument/2006/relationships/worksheet" Target="/xl/worksheets/sheet7.xml" Id="Rf9d6ee5945424dda" /></Relationships>
</file>

<file path=xl/tables/table1.xml><?xml version="1.0" encoding="utf-8"?>
<x:table xmlns:x="http://schemas.openxmlformats.org/spreadsheetml/2006/main" id="1" name="RoadmapTable" displayName="RoadmapTable" ref="A4:Z230" headerRowCount="1" totalsRowCount="0" totalsRowShown="0">
  <x:tableColumns count="26">
    <x:tableColumn id="1" name="Local ID"/>
    <x:tableColumn id="2" name="Parent Local ID"/>
    <x:tableColumn id="3" name="Program Phase"/>
    <x:tableColumn id="4" name="Slice"/>
    <x:tableColumn id="5" name="Hierarchy"/>
    <x:tableColumn id="6" name="Issue Type"/>
    <x:tableColumn id="7" name="Summary"/>
    <x:tableColumn id="8" name="Workstream"/>
    <x:tableColumn id="9" name="Jira Status"/>
    <x:tableColumn id="10" name="Practice Gate Verdict"/>
    <x:tableColumn id="11" name="Priority"/>
    <x:tableColumn id="12" name="Severity"/>
    <x:tableColumn id="13" name="Confidence"/>
    <x:tableColumn id="14" name="Create?"/>
    <x:tableColumn id="15" name="Depends On"/>
    <x:tableColumn id="16" name="Description"/>
    <x:tableColumn id="17" name="Acceptance Criteria"/>
    <x:tableColumn id="18" name="Validation / Evidence"/>
    <x:tableColumn id="19" name="Rollback / Safety"/>
    <x:tableColumn id="20" name="Source MD"/>
    <x:tableColumn id="21" name="Labels"/>
    <x:tableColumn id="22" name="Component"/>
    <x:tableColumn id="23" name="Jira Key"/>
    <x:tableColumn id="24" name="Owner"/>
    <x:tableColumn id="25" name="Sprint"/>
    <x:tableColumn id="26" name="Target Relea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13DGateTable" displayName="Phase13DGateTable" ref="A4:G29" headerRowCount="1" totalsRowCount="0" totalsRowShown="0">
  <x:tableColumns count="7">
    <x:tableColumn id="1" name="Scenario ID"/>
    <x:tableColumn id="2" name="Parent Task"/>
    <x:tableColumn id="3" name="Acceptance Scenario"/>
    <x:tableColumn id="4" name="Expected Evidence"/>
    <x:tableColumn id="5" name="Validation Status"/>
    <x:tableColumn id="6" name="Bug / Finding Link"/>
    <x:tableColumn id="7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ugRegisterTable" displayName="BugRegisterTable" ref="A4:V25" headerRowCount="1" totalsRowCount="0" totalsRowShown="0">
  <x:tableColumns count="22">
    <x:tableColumn id="1" name="Finding ID"/>
    <x:tableColumn id="2" name="Issue Type"/>
    <x:tableColumn id="3" name="Summary"/>
    <x:tableColumn id="4" name="Component"/>
    <x:tableColumn id="5" name="Parent Epic"/>
    <x:tableColumn id="6" name="Severity"/>
    <x:tableColumn id="7" name="Priority"/>
    <x:tableColumn id="8" name="Confidence"/>
    <x:tableColumn id="9" name="Status"/>
    <x:tableColumn id="10" name="Expected Contract"/>
    <x:tableColumn id="11" name="Actual / Documented Risk"/>
    <x:tableColumn id="12" name="Reproduction / Verification"/>
    <x:tableColumn id="13" name="Impact"/>
    <x:tableColumn id="14" name="Acceptance Criteria"/>
    <x:tableColumn id="15" name="Regression Evidence"/>
    <x:tableColumn id="16" name="Labels"/>
    <x:tableColumn id="17" name="Duplicate Of"/>
    <x:tableColumn id="18" name="Regression Of"/>
    <x:tableColumn id="19" name="Found In Commit"/>
    <x:tableColumn id="20" name="Environment / Source"/>
    <x:tableColumn id="21" name="Privacy Notes"/>
    <x:tableColumn id="22" name="Create Recommendati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Phase15InventoryTable" displayName="Phase15InventoryTable" ref="A4:J25" headerRowCount="1" totalsRowCount="0" totalsRowShown="0">
  <x:tableColumns count="10">
    <x:tableColumn id="1" name="Inventory ID"/>
    <x:tableColumn id="2" name="Classification"/>
    <x:tableColumn id="3" name="Current Evidence / Concern"/>
    <x:tableColumn id="4" name="Recommended Jira Type"/>
    <x:tableColumn id="5" name="Phase 15 Action"/>
    <x:tableColumn id="6" name="Acceptance Proof"/>
    <x:tableColumn id="7" name="Owner"/>
    <x:tableColumn id="8" name="Decision"/>
    <x:tableColumn id="9" name="Jira Key"/>
    <x:tableColumn id="10" name="Notes"/>
  </x:tableColumns>
  <x:tableStyleInfo name="TableStyleMedium5" showFirstColumn="0" showLastColumn="0" showRowStripes="1" showColumnStripes="0"/>
</x:table>
</file>

<file path=xl/tables/table5.xml><?xml version="1.0" encoding="utf-8"?>
<x:table xmlns:x="http://schemas.openxmlformats.org/spreadsheetml/2006/main" id="5" name="JiraImportTable" displayName="JiraImportTable" ref="A4:N230" headerRowCount="1" totalsRowCount="0" totalsRowShown="0">
  <x:tableColumns count="14">
    <x:tableColumn id="1" name="Local ID"/>
    <x:tableColumn id="2" name="Create?"/>
    <x:tableColumn id="3" name="Issue Type"/>
    <x:tableColumn id="4" name="Summary"/>
    <x:tableColumn id="5" name="Parent Local ID"/>
    <x:tableColumn id="6" name="Epic Name"/>
    <x:tableColumn id="7" name="Description"/>
    <x:tableColumn id="8" name="Acceptance Criteria"/>
    <x:tableColumn id="9" name="Priority"/>
    <x:tableColumn id="10" name="Component"/>
    <x:tableColumn id="11" name="Labels"/>
    <x:tableColumn id="12" name="Fix Version"/>
    <x:tableColumn id="13" name="Initial Status"/>
    <x:tableColumn id="14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G27" headerRowCount="1" totalsRowCount="0" totalsRowShown="0">
  <x:tableColumns count="7">
    <x:tableColumn id="1" name="Source ID"/>
    <x:tableColumn id="2" name="Markdown Path"/>
    <x:tableColumn id="3" name="Category"/>
    <x:tableColumn id="4" name="Authority"/>
    <x:tableColumn id="5" name="Use"/>
    <x:tableColumn id="6" name="Git Ref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f54655b50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3374710dac42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69be822c5945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85684f347443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c3bd53ee9e48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defe6867d047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30" customHeight="1">
      <x:c r="A1" s="3" t="str">
        <x:v>PRACTICE Jira Roadmap — Phase 1 to 16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Nguồn: Markdown-only tại origin/feature/practice-reduce-scope@da350b5d. Không phải source-code audit và không tạo Jira issue tự động.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Tổng work items</x:v>
      </x:c>
      <x:c r="B4" s="11"/>
      <x:c r="C4" s="11" t="str">
        <x:v>Epics</x:v>
      </x:c>
      <x:c r="D4" s="11"/>
      <x:c r="E4" s="11" t="str">
        <x:v>Ready / Backlog</x:v>
      </x:c>
      <x:c r="F4" s="11"/>
      <x:c r="G4" s="11" t="str">
        <x:v>Bug / risk register</x:v>
      </x:c>
      <x:c r="H4" s="11"/>
    </x:row>
    <x:row r="5">
      <x:c r="A5" s="21" t="n">
        <x:f>COUNTA('Roadmap'!$A$5:$A$230)</x:f>
        <x:v>226</x:v>
      </x:c>
      <x:c r="B5" s="22"/>
      <x:c r="C5" s="21" t="n">
        <x:f>COUNTIF('Roadmap'!$F$5:$F$230,"Epic")</x:f>
        <x:v>36</x:v>
      </x:c>
      <x:c r="D5" s="22"/>
      <x:c r="E5" s="21" t="n">
        <x:f>COUNTIF('Roadmap'!$I$5:$I$230,"Ready for Validation")+COUNTIF('Roadmap'!$I$5:$I$230,"Backlog")</x:f>
        <x:v>110</x:v>
      </x:c>
      <x:c r="F5" s="22"/>
      <x:c r="G5" s="21" t="n">
        <x:f>COUNTA('Bug Register'!$A$5:$A$25)</x:f>
        <x:v>21</x:v>
      </x:c>
      <x:c r="H5" s="22"/>
    </x:row>
    <x:row r="6">
      <x:c r="A6" s="23"/>
      <x:c r="B6" s="24"/>
      <x:c r="C6" s="23"/>
      <x:c r="D6" s="24"/>
      <x:c r="E6" s="23"/>
      <x:c r="F6" s="24"/>
      <x:c r="G6" s="23"/>
      <x:c r="H6" s="24"/>
    </x:row>
    <x:row r="8">
      <x:c r="A8" s="26" t="str">
        <x:v>Phase summary</x:v>
      </x:c>
      <x:c r="B8" s="26"/>
      <x:c r="C8" s="26"/>
      <x:c r="D8" s="26"/>
      <x:c r="E8" s="26"/>
      <x:c r="F8" s="26"/>
      <x:c r="G8" s="26"/>
      <x:c r="H8" s="26"/>
    </x:row>
    <x:row r="9" ht="34" customHeight="1">
      <x:c r="A9" s="34" t="str">
        <x:v>Phase</x:v>
      </x:c>
      <x:c r="B9" s="35" t="str">
        <x:v>Work items</x:v>
      </x:c>
      <x:c r="C9" s="35" t="str">
        <x:v>Epics</x:v>
      </x:c>
      <x:c r="D9" s="35" t="str">
        <x:v>Done*</x:v>
      </x:c>
      <x:c r="E9" s="35" t="str">
        <x:v>Ready Validation</x:v>
      </x:c>
      <x:c r="F9" s="35" t="str">
        <x:v>Backlog</x:v>
      </x:c>
      <x:c r="G9" s="35" t="str">
        <x:v>Blocked/Icebox</x:v>
      </x:c>
      <x:c r="H9" s="36" t="str">
        <x:v>Điểm điều hành</x:v>
      </x:c>
    </x:row>
    <x:row r="10">
      <x:c r="A10" s="44" t="n">
        <x:v>1</x:v>
      </x:c>
      <x:c r="B10" s="44" t="n">
        <x:f>COUNTIF('Roadmap'!$C$5:$C$230,A10)</x:f>
        <x:v>4</x:v>
      </x:c>
      <x:c r="C10" s="44" t="n">
        <x:f>COUNTIFS('Roadmap'!$C$5:$C$230,A10,'Roadmap'!$F$5:$F$230,"Epic")</x:f>
        <x:v>1</x:v>
      </x:c>
      <x:c r="D10" s="44" t="n">
        <x:f>COUNTIFS('Roadmap'!$C$5:$C$230,A10,'Roadmap'!$I$5:$I$230,"Done")+COUNTIFS('Roadmap'!$C$5:$C$230,A10,'Roadmap'!$I$5:$I$230,"Done with Debt")</x:f>
        <x:v>4</x:v>
      </x:c>
      <x:c r="E10" s="44" t="n">
        <x:f>COUNTIFS('Roadmap'!$C$5:$C$230,A10,'Roadmap'!$I$5:$I$230,"Ready for Validation")</x:f>
        <x:v>0</x:v>
      </x:c>
      <x:c r="F10" s="44" t="n">
        <x:f>COUNTIFS('Roadmap'!$C$5:$C$230,A10,'Roadmap'!$I$5:$I$230,"Backlog")</x:f>
        <x:v>0</x:v>
      </x:c>
      <x:c r="G10" s="44" t="n">
        <x:f>COUNTIFS('Roadmap'!$C$5:$C$230,A10,'Roadmap'!$I$5:$I$230,"Blocked")+COUNTIFS('Roadmap'!$C$5:$C$230,A10,'Roadmap'!$I$5:$I$230,"Icebox")</x:f>
        <x:v>0</x:v>
      </x:c>
      <x:c r="H10" s="42" t="str">
        <x:v>Closed; retrospective evidence index</x:v>
      </x:c>
    </x:row>
    <x:row r="11">
      <x:c r="A11" s="45" t="n">
        <x:v>2</x:v>
      </x:c>
      <x:c r="B11" s="45" t="n">
        <x:f>COUNTIF('Roadmap'!$C$5:$C$230,A11)</x:f>
        <x:v>4</x:v>
      </x:c>
      <x:c r="C11" s="45" t="n">
        <x:f>COUNTIFS('Roadmap'!$C$5:$C$230,A11,'Roadmap'!$F$5:$F$230,"Epic")</x:f>
        <x:v>1</x:v>
      </x:c>
      <x:c r="D11" s="45" t="n">
        <x:f>COUNTIFS('Roadmap'!$C$5:$C$230,A11,'Roadmap'!$I$5:$I$230,"Done")+COUNTIFS('Roadmap'!$C$5:$C$230,A11,'Roadmap'!$I$5:$I$230,"Done with Debt")</x:f>
        <x:v>4</x:v>
      </x:c>
      <x:c r="E11" s="45" t="n">
        <x:f>COUNTIFS('Roadmap'!$C$5:$C$230,A11,'Roadmap'!$I$5:$I$230,"Ready for Validation")</x:f>
        <x:v>0</x:v>
      </x:c>
      <x:c r="F11" s="45" t="n">
        <x:f>COUNTIFS('Roadmap'!$C$5:$C$230,A11,'Roadmap'!$I$5:$I$230,"Backlog")</x:f>
        <x:v>0</x:v>
      </x:c>
      <x:c r="G11" s="45" t="n">
        <x:f>COUNTIFS('Roadmap'!$C$5:$C$230,A11,'Roadmap'!$I$5:$I$230,"Blocked")+COUNTIFS('Roadmap'!$C$5:$C$230,A11,'Roadmap'!$I$5:$I$230,"Icebox")</x:f>
        <x:v>0</x:v>
      </x:c>
      <x:c r="H11" s="43" t="str">
        <x:v>Closed; release log audit remains</x:v>
      </x:c>
    </x:row>
    <x:row r="12">
      <x:c r="A12" s="45" t="n">
        <x:v>3</x:v>
      </x:c>
      <x:c r="B12" s="45" t="n">
        <x:f>COUNTIF('Roadmap'!$C$5:$C$230,A12)</x:f>
        <x:v>4</x:v>
      </x:c>
      <x:c r="C12" s="45" t="n">
        <x:f>COUNTIFS('Roadmap'!$C$5:$C$230,A12,'Roadmap'!$F$5:$F$230,"Epic")</x:f>
        <x:v>1</x:v>
      </x:c>
      <x:c r="D12" s="45" t="n">
        <x:f>COUNTIFS('Roadmap'!$C$5:$C$230,A12,'Roadmap'!$I$5:$I$230,"Done")+COUNTIFS('Roadmap'!$C$5:$C$230,A12,'Roadmap'!$I$5:$I$230,"Done with Debt")</x:f>
        <x:v>4</x:v>
      </x:c>
      <x:c r="E12" s="45" t="n">
        <x:f>COUNTIFS('Roadmap'!$C$5:$C$230,A12,'Roadmap'!$I$5:$I$230,"Ready for Validation")</x:f>
        <x:v>0</x:v>
      </x:c>
      <x:c r="F12" s="45" t="n">
        <x:f>COUNTIFS('Roadmap'!$C$5:$C$230,A12,'Roadmap'!$I$5:$I$230,"Backlog")</x:f>
        <x:v>0</x:v>
      </x:c>
      <x:c r="G12" s="45" t="n">
        <x:f>COUNTIFS('Roadmap'!$C$5:$C$230,A12,'Roadmap'!$I$5:$I$230,"Blocked")+COUNTIFS('Roadmap'!$C$5:$C$230,A12,'Roadmap'!$I$5:$I$230,"Icebox")</x:f>
        <x:v>0</x:v>
      </x:c>
      <x:c r="H12" s="43" t="str">
        <x:v>Closed; keep provider outside transaction</x:v>
      </x:c>
    </x:row>
    <x:row r="13">
      <x:c r="A13" s="45" t="n">
        <x:v>4</x:v>
      </x:c>
      <x:c r="B13" s="45" t="n">
        <x:f>COUNTIF('Roadmap'!$C$5:$C$230,A13)</x:f>
        <x:v>4</x:v>
      </x:c>
      <x:c r="C13" s="45" t="n">
        <x:f>COUNTIFS('Roadmap'!$C$5:$C$230,A13,'Roadmap'!$F$5:$F$230,"Epic")</x:f>
        <x:v>1</x:v>
      </x:c>
      <x:c r="D13" s="45" t="n">
        <x:f>COUNTIFS('Roadmap'!$C$5:$C$230,A13,'Roadmap'!$I$5:$I$230,"Done")+COUNTIFS('Roadmap'!$C$5:$C$230,A13,'Roadmap'!$I$5:$I$230,"Done with Debt")</x:f>
        <x:v>4</x:v>
      </x:c>
      <x:c r="E13" s="45" t="n">
        <x:f>COUNTIFS('Roadmap'!$C$5:$C$230,A13,'Roadmap'!$I$5:$I$230,"Ready for Validation")</x:f>
        <x:v>0</x:v>
      </x:c>
      <x:c r="F13" s="45" t="n">
        <x:f>COUNTIFS('Roadmap'!$C$5:$C$230,A13,'Roadmap'!$I$5:$I$230,"Backlog")</x:f>
        <x:v>0</x:v>
      </x:c>
      <x:c r="G13" s="45" t="n">
        <x:f>COUNTIFS('Roadmap'!$C$5:$C$230,A13,'Roadmap'!$I$5:$I$230,"Blocked")+COUNTIFS('Roadmap'!$C$5:$C$230,A13,'Roadmap'!$I$5:$I$230,"Icebox")</x:f>
        <x:v>0</x:v>
      </x:c>
      <x:c r="H13" s="43" t="str">
        <x:v>Closed</x:v>
      </x:c>
    </x:row>
    <x:row r="14">
      <x:c r="A14" s="45" t="n">
        <x:v>5</x:v>
      </x:c>
      <x:c r="B14" s="45" t="n">
        <x:f>COUNTIF('Roadmap'!$C$5:$C$230,A14)</x:f>
        <x:v>4</x:v>
      </x:c>
      <x:c r="C14" s="45" t="n">
        <x:f>COUNTIFS('Roadmap'!$C$5:$C$230,A14,'Roadmap'!$F$5:$F$230,"Epic")</x:f>
        <x:v>1</x:v>
      </x:c>
      <x:c r="D14" s="45" t="n">
        <x:f>COUNTIFS('Roadmap'!$C$5:$C$230,A14,'Roadmap'!$I$5:$I$230,"Done")+COUNTIFS('Roadmap'!$C$5:$C$230,A14,'Roadmap'!$I$5:$I$230,"Done with Debt")</x:f>
        <x:v>4</x:v>
      </x:c>
      <x:c r="E14" s="45" t="n">
        <x:f>COUNTIFS('Roadmap'!$C$5:$C$230,A14,'Roadmap'!$I$5:$I$230,"Ready for Validation")</x:f>
        <x:v>0</x:v>
      </x:c>
      <x:c r="F14" s="45" t="n">
        <x:f>COUNTIFS('Roadmap'!$C$5:$C$230,A14,'Roadmap'!$I$5:$I$230,"Backlog")</x:f>
        <x:v>0</x:v>
      </x:c>
      <x:c r="G14" s="45" t="n">
        <x:f>COUNTIFS('Roadmap'!$C$5:$C$230,A14,'Roadmap'!$I$5:$I$230,"Blocked")+COUNTIFS('Roadmap'!$C$5:$C$230,A14,'Roadmap'!$I$5:$I$230,"Icebox")</x:f>
        <x:v>0</x:v>
      </x:c>
      <x:c r="H14" s="43" t="str">
        <x:v>Closed</x:v>
      </x:c>
    </x:row>
    <x:row r="15">
      <x:c r="A15" s="45" t="n">
        <x:v>6</x:v>
      </x:c>
      <x:c r="B15" s="45" t="n">
        <x:f>COUNTIF('Roadmap'!$C$5:$C$230,A15)</x:f>
        <x:v>4</x:v>
      </x:c>
      <x:c r="C15" s="45" t="n">
        <x:f>COUNTIFS('Roadmap'!$C$5:$C$230,A15,'Roadmap'!$F$5:$F$230,"Epic")</x:f>
        <x:v>1</x:v>
      </x:c>
      <x:c r="D15" s="45" t="n">
        <x:f>COUNTIFS('Roadmap'!$C$5:$C$230,A15,'Roadmap'!$I$5:$I$230,"Done")+COUNTIFS('Roadmap'!$C$5:$C$230,A15,'Roadmap'!$I$5:$I$230,"Done with Debt")</x:f>
        <x:v>4</x:v>
      </x:c>
      <x:c r="E15" s="45" t="n">
        <x:f>COUNTIFS('Roadmap'!$C$5:$C$230,A15,'Roadmap'!$I$5:$I$230,"Ready for Validation")</x:f>
        <x:v>0</x:v>
      </x:c>
      <x:c r="F15" s="45" t="n">
        <x:f>COUNTIFS('Roadmap'!$C$5:$C$230,A15,'Roadmap'!$I$5:$I$230,"Backlog")</x:f>
        <x:v>0</x:v>
      </x:c>
      <x:c r="G15" s="45" t="n">
        <x:f>COUNTIFS('Roadmap'!$C$5:$C$230,A15,'Roadmap'!$I$5:$I$230,"Blocked")+COUNTIFS('Roadmap'!$C$5:$C$230,A15,'Roadmap'!$I$5:$I$230,"Icebox")</x:f>
        <x:v>0</x:v>
      </x:c>
      <x:c r="H15" s="43" t="str">
        <x:v>Closed</x:v>
      </x:c>
    </x:row>
    <x:row r="16">
      <x:c r="A16" s="45" t="n">
        <x:v>7</x:v>
      </x:c>
      <x:c r="B16" s="45" t="n">
        <x:f>COUNTIF('Roadmap'!$C$5:$C$230,A16)</x:f>
        <x:v>4</x:v>
      </x:c>
      <x:c r="C16" s="45" t="n">
        <x:f>COUNTIFS('Roadmap'!$C$5:$C$230,A16,'Roadmap'!$F$5:$F$230,"Epic")</x:f>
        <x:v>1</x:v>
      </x:c>
      <x:c r="D16" s="45" t="n">
        <x:f>COUNTIFS('Roadmap'!$C$5:$C$230,A16,'Roadmap'!$I$5:$I$230,"Done")+COUNTIFS('Roadmap'!$C$5:$C$230,A16,'Roadmap'!$I$5:$I$230,"Done with Debt")</x:f>
        <x:v>3</x:v>
      </x:c>
      <x:c r="E16" s="45" t="n">
        <x:f>COUNTIFS('Roadmap'!$C$5:$C$230,A16,'Roadmap'!$I$5:$I$230,"Ready for Validation")</x:f>
        <x:v>0</x:v>
      </x:c>
      <x:c r="F16" s="45" t="n">
        <x:f>COUNTIFS('Roadmap'!$C$5:$C$230,A16,'Roadmap'!$I$5:$I$230,"Backlog")</x:f>
        <x:v>1</x:v>
      </x:c>
      <x:c r="G16" s="45" t="n">
        <x:f>COUNTIFS('Roadmap'!$C$5:$C$230,A16,'Roadmap'!$I$5:$I$230,"Blocked")+COUNTIFS('Roadmap'!$C$5:$C$230,A16,'Roadmap'!$I$5:$I$230,"Icebox")</x:f>
        <x:v>0</x:v>
      </x:c>
      <x:c r="H16" s="43" t="str">
        <x:v>Closed with ops debt</x:v>
      </x:c>
    </x:row>
    <x:row r="17">
      <x:c r="A17" s="45" t="n">
        <x:v>8</x:v>
      </x:c>
      <x:c r="B17" s="45" t="n">
        <x:f>COUNTIF('Roadmap'!$C$5:$C$230,A17)</x:f>
        <x:v>35</x:v>
      </x:c>
      <x:c r="C17" s="45" t="n">
        <x:f>COUNTIFS('Roadmap'!$C$5:$C$230,A17,'Roadmap'!$F$5:$F$230,"Epic")</x:f>
        <x:v>7</x:v>
      </x:c>
      <x:c r="D17" s="45" t="n">
        <x:f>COUNTIFS('Roadmap'!$C$5:$C$230,A17,'Roadmap'!$I$5:$I$230,"Done")+COUNTIFS('Roadmap'!$C$5:$C$230,A17,'Roadmap'!$I$5:$I$230,"Done with Debt")</x:f>
        <x:v>30</x:v>
      </x:c>
      <x:c r="E17" s="45" t="n">
        <x:f>COUNTIFS('Roadmap'!$C$5:$C$230,A17,'Roadmap'!$I$5:$I$230,"Ready for Validation")</x:f>
        <x:v>0</x:v>
      </x:c>
      <x:c r="F17" s="45" t="n">
        <x:f>COUNTIFS('Roadmap'!$C$5:$C$230,A17,'Roadmap'!$I$5:$I$230,"Backlog")</x:f>
        <x:v>4</x:v>
      </x:c>
      <x:c r="G17" s="45" t="n">
        <x:f>COUNTIFS('Roadmap'!$C$5:$C$230,A17,'Roadmap'!$I$5:$I$230,"Blocked")+COUNTIFS('Roadmap'!$C$5:$C$230,A17,'Roadmap'!$I$5:$I$230,"Icebox")</x:f>
        <x:v>1</x:v>
      </x:c>
      <x:c r="H17" s="43" t="str">
        <x:v>Closed with debt; live Speaking AI NO-GO</x:v>
      </x:c>
    </x:row>
    <x:row r="18">
      <x:c r="A18" s="45" t="n">
        <x:v>9</x:v>
      </x:c>
      <x:c r="B18" s="45" t="n">
        <x:f>COUNTIF('Roadmap'!$C$5:$C$230,A18)</x:f>
        <x:v>8</x:v>
      </x:c>
      <x:c r="C18" s="45" t="n">
        <x:f>COUNTIFS('Roadmap'!$C$5:$C$230,A18,'Roadmap'!$F$5:$F$230,"Epic")</x:f>
        <x:v>1</x:v>
      </x:c>
      <x:c r="D18" s="45" t="n">
        <x:f>COUNTIFS('Roadmap'!$C$5:$C$230,A18,'Roadmap'!$I$5:$I$230,"Done")+COUNTIFS('Roadmap'!$C$5:$C$230,A18,'Roadmap'!$I$5:$I$230,"Done with Debt")</x:f>
        <x:v>8</x:v>
      </x:c>
      <x:c r="E18" s="45" t="n">
        <x:f>COUNTIFS('Roadmap'!$C$5:$C$230,A18,'Roadmap'!$I$5:$I$230,"Ready for Validation")</x:f>
        <x:v>0</x:v>
      </x:c>
      <x:c r="F18" s="45" t="n">
        <x:f>COUNTIFS('Roadmap'!$C$5:$C$230,A18,'Roadmap'!$I$5:$I$230,"Backlog")</x:f>
        <x:v>0</x:v>
      </x:c>
      <x:c r="G18" s="45" t="n">
        <x:f>COUNTIFS('Roadmap'!$C$5:$C$230,A18,'Roadmap'!$I$5:$I$230,"Blocked")+COUNTIFS('Roadmap'!$C$5:$C$230,A18,'Roadmap'!$I$5:$I$230,"Icebox")</x:f>
        <x:v>0</x:v>
      </x:c>
      <x:c r="H18" s="43" t="str">
        <x:v>Closed with immutable compatibility debt</x:v>
      </x:c>
    </x:row>
    <x:row r="19">
      <x:c r="A19" s="45" t="n">
        <x:v>10</x:v>
      </x:c>
      <x:c r="B19" s="45" t="n">
        <x:f>COUNTIF('Roadmap'!$C$5:$C$230,A19)</x:f>
        <x:v>9</x:v>
      </x:c>
      <x:c r="C19" s="45" t="n">
        <x:f>COUNTIFS('Roadmap'!$C$5:$C$230,A19,'Roadmap'!$F$5:$F$230,"Epic")</x:f>
        <x:v>1</x:v>
      </x:c>
      <x:c r="D19" s="45" t="n">
        <x:f>COUNTIFS('Roadmap'!$C$5:$C$230,A19,'Roadmap'!$I$5:$I$230,"Done")+COUNTIFS('Roadmap'!$C$5:$C$230,A19,'Roadmap'!$I$5:$I$230,"Done with Debt")</x:f>
        <x:v>9</x:v>
      </x:c>
      <x:c r="E19" s="45" t="n">
        <x:f>COUNTIFS('Roadmap'!$C$5:$C$230,A19,'Roadmap'!$I$5:$I$230,"Ready for Validation")</x:f>
        <x:v>0</x:v>
      </x:c>
      <x:c r="F19" s="45" t="n">
        <x:f>COUNTIFS('Roadmap'!$C$5:$C$230,A19,'Roadmap'!$I$5:$I$230,"Backlog")</x:f>
        <x:v>0</x:v>
      </x:c>
      <x:c r="G19" s="45" t="n">
        <x:f>COUNTIFS('Roadmap'!$C$5:$C$230,A19,'Roadmap'!$I$5:$I$230,"Blocked")+COUNTIFS('Roadmap'!$C$5:$C$230,A19,'Roadmap'!$I$5:$I$230,"Icebox")</x:f>
        <x:v>0</x:v>
      </x:c>
      <x:c r="H19" s="43" t="str">
        <x:v>Closed with debt</x:v>
      </x:c>
    </x:row>
    <x:row r="20">
      <x:c r="A20" s="45" t="n">
        <x:v>11</x:v>
      </x:c>
      <x:c r="B20" s="45" t="n">
        <x:f>COUNTIF('Roadmap'!$C$5:$C$230,A20)</x:f>
        <x:v>9</x:v>
      </x:c>
      <x:c r="C20" s="45" t="n">
        <x:f>COUNTIFS('Roadmap'!$C$5:$C$230,A20,'Roadmap'!$F$5:$F$230,"Epic")</x:f>
        <x:v>1</x:v>
      </x:c>
      <x:c r="D20" s="45" t="n">
        <x:f>COUNTIFS('Roadmap'!$C$5:$C$230,A20,'Roadmap'!$I$5:$I$230,"Done")+COUNTIFS('Roadmap'!$C$5:$C$230,A20,'Roadmap'!$I$5:$I$230,"Done with Debt")</x:f>
        <x:v>9</x:v>
      </x:c>
      <x:c r="E20" s="45" t="n">
        <x:f>COUNTIFS('Roadmap'!$C$5:$C$230,A20,'Roadmap'!$I$5:$I$230,"Ready for Validation")</x:f>
        <x:v>0</x:v>
      </x:c>
      <x:c r="F20" s="45" t="n">
        <x:f>COUNTIFS('Roadmap'!$C$5:$C$230,A20,'Roadmap'!$I$5:$I$230,"Backlog")</x:f>
        <x:v>0</x:v>
      </x:c>
      <x:c r="G20" s="45" t="n">
        <x:f>COUNTIFS('Roadmap'!$C$5:$C$230,A20,'Roadmap'!$I$5:$I$230,"Blocked")+COUNTIFS('Roadmap'!$C$5:$C$230,A20,'Roadmap'!$I$5:$I$230,"Icebox")</x:f>
        <x:v>0</x:v>
      </x:c>
      <x:c r="H20" s="43" t="str">
        <x:v>Closed with debt</x:v>
      </x:c>
    </x:row>
    <x:row r="21">
      <x:c r="A21" s="45" t="n">
        <x:v>12</x:v>
      </x:c>
      <x:c r="B21" s="45" t="n">
        <x:f>COUNTIF('Roadmap'!$C$5:$C$230,A21)</x:f>
        <x:v>8</x:v>
      </x:c>
      <x:c r="C21" s="45" t="n">
        <x:f>COUNTIFS('Roadmap'!$C$5:$C$230,A21,'Roadmap'!$F$5:$F$230,"Epic")</x:f>
        <x:v>1</x:v>
      </x:c>
      <x:c r="D21" s="45" t="n">
        <x:f>COUNTIFS('Roadmap'!$C$5:$C$230,A21,'Roadmap'!$I$5:$I$230,"Done")+COUNTIFS('Roadmap'!$C$5:$C$230,A21,'Roadmap'!$I$5:$I$230,"Done with Debt")</x:f>
        <x:v>8</x:v>
      </x:c>
      <x:c r="E21" s="45" t="n">
        <x:f>COUNTIFS('Roadmap'!$C$5:$C$230,A21,'Roadmap'!$I$5:$I$230,"Ready for Validation")</x:f>
        <x:v>0</x:v>
      </x:c>
      <x:c r="F21" s="45" t="n">
        <x:f>COUNTIFS('Roadmap'!$C$5:$C$230,A21,'Roadmap'!$I$5:$I$230,"Backlog")</x:f>
        <x:v>0</x:v>
      </x:c>
      <x:c r="G21" s="45" t="n">
        <x:f>COUNTIFS('Roadmap'!$C$5:$C$230,A21,'Roadmap'!$I$5:$I$230,"Blocked")+COUNTIFS('Roadmap'!$C$5:$C$230,A21,'Roadmap'!$I$5:$I$230,"Icebox")</x:f>
        <x:v>0</x:v>
      </x:c>
      <x:c r="H21" s="43" t="str">
        <x:v>Code gate green; browser QA skipped</x:v>
      </x:c>
    </x:row>
    <x:row r="22">
      <x:c r="A22" s="45" t="n">
        <x:v>13</x:v>
      </x:c>
      <x:c r="B22" s="45" t="n">
        <x:f>COUNTIF('Roadmap'!$C$5:$C$230,A22)</x:f>
        <x:v>70</x:v>
      </x:c>
      <x:c r="C22" s="45" t="n">
        <x:f>COUNTIFS('Roadmap'!$C$5:$C$230,A22,'Roadmap'!$F$5:$F$230,"Epic")</x:f>
        <x:v>8</x:v>
      </x:c>
      <x:c r="D22" s="45" t="n">
        <x:f>COUNTIFS('Roadmap'!$C$5:$C$230,A22,'Roadmap'!$I$5:$I$230,"Done")+COUNTIFS('Roadmap'!$C$5:$C$230,A22,'Roadmap'!$I$5:$I$230,"Done with Debt")</x:f>
        <x:v>16</x:v>
      </x:c>
      <x:c r="E22" s="45" t="n">
        <x:f>COUNTIFS('Roadmap'!$C$5:$C$230,A22,'Roadmap'!$I$5:$I$230,"Ready for Validation")</x:f>
        <x:v>26</x:v>
      </x:c>
      <x:c r="F22" s="45" t="n">
        <x:f>COUNTIFS('Roadmap'!$C$5:$C$230,A22,'Roadmap'!$I$5:$I$230,"Backlog")</x:f>
        <x:v>28</x:v>
      </x:c>
      <x:c r="G22" s="45" t="n">
        <x:f>COUNTIFS('Roadmap'!$C$5:$C$230,A22,'Roadmap'!$I$5:$I$230,"Blocked")+COUNTIFS('Roadmap'!$C$5:$C$230,A22,'Roadmap'!$I$5:$I$230,"Icebox")</x:f>
        <x:v>0</x:v>
      </x:c>
      <x:c r="H22" s="43" t="str">
        <x:v>13D ready for validation; 13E-H backlog</x:v>
      </x:c>
    </x:row>
    <x:row r="23">
      <x:c r="A23" s="45" t="n">
        <x:v>14</x:v>
      </x:c>
      <x:c r="B23" s="45" t="n">
        <x:f>COUNTIF('Roadmap'!$C$5:$C$230,A23)</x:f>
        <x:v>11</x:v>
      </x:c>
      <x:c r="C23" s="45" t="n">
        <x:f>COUNTIFS('Roadmap'!$C$5:$C$230,A23,'Roadmap'!$F$5:$F$230,"Epic")</x:f>
        <x:v>1</x:v>
      </x:c>
      <x:c r="D23" s="45" t="n">
        <x:f>COUNTIFS('Roadmap'!$C$5:$C$230,A23,'Roadmap'!$I$5:$I$230,"Done")+COUNTIFS('Roadmap'!$C$5:$C$230,A23,'Roadmap'!$I$5:$I$230,"Done with Debt")</x:f>
        <x:v>0</x:v>
      </x:c>
      <x:c r="E23" s="45" t="n">
        <x:f>COUNTIFS('Roadmap'!$C$5:$C$230,A23,'Roadmap'!$I$5:$I$230,"Ready for Validation")</x:f>
        <x:v>0</x:v>
      </x:c>
      <x:c r="F23" s="45" t="n">
        <x:f>COUNTIFS('Roadmap'!$C$5:$C$230,A23,'Roadmap'!$I$5:$I$230,"Backlog")</x:f>
        <x:v>11</x:v>
      </x:c>
      <x:c r="G23" s="45" t="n">
        <x:f>COUNTIFS('Roadmap'!$C$5:$C$230,A23,'Roadmap'!$I$5:$I$230,"Blocked")+COUNTIFS('Roadmap'!$C$5:$C$230,A23,'Roadmap'!$I$5:$I$230,"Icebox")</x:f>
        <x:v>0</x:v>
      </x:c>
      <x:c r="H23" s="43" t="str">
        <x:v>Not started</x:v>
      </x:c>
    </x:row>
    <x:row r="24">
      <x:c r="A24" s="45" t="n">
        <x:v>15</x:v>
      </x:c>
      <x:c r="B24" s="45" t="n">
        <x:f>COUNTIF('Roadmap'!$C$5:$C$230,A24)</x:f>
        <x:v>40</x:v>
      </x:c>
      <x:c r="C24" s="45" t="n">
        <x:f>COUNTIFS('Roadmap'!$C$5:$C$230,A24,'Roadmap'!$F$5:$F$230,"Epic")</x:f>
        <x:v>8</x:v>
      </x:c>
      <x:c r="D24" s="45" t="n">
        <x:f>COUNTIFS('Roadmap'!$C$5:$C$230,A24,'Roadmap'!$I$5:$I$230,"Done")+COUNTIFS('Roadmap'!$C$5:$C$230,A24,'Roadmap'!$I$5:$I$230,"Done with Debt")</x:f>
        <x:v>0</x:v>
      </x:c>
      <x:c r="E24" s="45" t="n">
        <x:f>COUNTIFS('Roadmap'!$C$5:$C$230,A24,'Roadmap'!$I$5:$I$230,"Ready for Validation")</x:f>
        <x:v>0</x:v>
      </x:c>
      <x:c r="F24" s="45" t="n">
        <x:f>COUNTIFS('Roadmap'!$C$5:$C$230,A24,'Roadmap'!$I$5:$I$230,"Backlog")</x:f>
        <x:v>40</x:v>
      </x:c>
      <x:c r="G24" s="45" t="n">
        <x:f>COUNTIFS('Roadmap'!$C$5:$C$230,A24,'Roadmap'!$I$5:$I$230,"Blocked")+COUNTIFS('Roadmap'!$C$5:$C$230,A24,'Roadmap'!$I$5:$I$230,"Icebox")</x:f>
        <x:v>0</x:v>
      </x:c>
      <x:c r="H24" s="43" t="str">
        <x:v>Not started; cleanup/seed/UAT</x:v>
      </x:c>
    </x:row>
    <x:row r="25">
      <x:c r="A25" s="45" t="n">
        <x:v>16</x:v>
      </x:c>
      <x:c r="B25" s="45" t="n">
        <x:f>COUNTIF('Roadmap'!$C$5:$C$230,A25)</x:f>
        <x:v>7</x:v>
      </x:c>
      <x:c r="C25" s="45" t="n">
        <x:f>COUNTIFS('Roadmap'!$C$5:$C$230,A25,'Roadmap'!$F$5:$F$230,"Epic")</x:f>
        <x:v>1</x:v>
      </x:c>
      <x:c r="D25" s="45" t="n">
        <x:f>COUNTIFS('Roadmap'!$C$5:$C$230,A25,'Roadmap'!$I$5:$I$230,"Done")+COUNTIFS('Roadmap'!$C$5:$C$230,A25,'Roadmap'!$I$5:$I$230,"Done with Debt")</x:f>
        <x:v>0</x:v>
      </x:c>
      <x:c r="E25" s="45" t="n">
        <x:f>COUNTIFS('Roadmap'!$C$5:$C$230,A25,'Roadmap'!$I$5:$I$230,"Ready for Validation")</x:f>
        <x:v>0</x:v>
      </x:c>
      <x:c r="F25" s="45" t="n">
        <x:f>COUNTIFS('Roadmap'!$C$5:$C$230,A25,'Roadmap'!$I$5:$I$230,"Backlog")</x:f>
        <x:v>0</x:v>
      </x:c>
      <x:c r="G25" s="45" t="n">
        <x:f>COUNTIFS('Roadmap'!$C$5:$C$230,A25,'Roadmap'!$I$5:$I$230,"Blocked")+COUNTIFS('Roadmap'!$C$5:$C$230,A25,'Roadmap'!$I$5:$I$230,"Icebox")</x:f>
        <x:v>7</x:v>
      </x:c>
      <x:c r="H25" s="43" t="str">
        <x:v>Optional, blocked by product GO</x:v>
      </x:c>
    </x:row>
    <x:row r="27">
      <x:c r="A27" s="48" t="str">
        <x:v>Quy tắc: Jira status và Practice Gate Verdict là hai trường riêng. Không đóng Phase 13D trước consolidated validation; không biến documented risk thành confirmed production bug khi chưa có source/runtime evidence.</x:v>
      </x:c>
      <x:c r="B27" s="48"/>
      <x:c r="C27" s="48"/>
      <x:c r="D27" s="48"/>
      <x:c r="E27" s="48"/>
      <x:c r="F27" s="48"/>
      <x:c r="G27" s="48"/>
      <x:c r="H27" s="48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40" hidden="0" customWidth="1"/>
    <x:col min="8" max="8" width="22" hidden="0" customWidth="1"/>
    <x:col min="9" max="9" width="20" hidden="0" customWidth="1"/>
    <x:col min="10" max="10" width="30" hidden="0" customWidth="1"/>
    <x:col min="11" max="11" width="11" hidden="0" customWidth="1"/>
    <x:col min="12" max="12" width="13" hidden="0" customWidth="1"/>
    <x:col min="13" max="13" width="18" hidden="0" customWidth="1"/>
    <x:col min="14" max="14" width="16" hidden="0" customWidth="1"/>
    <x:col min="15" max="15" width="20" hidden="0" customWidth="1"/>
    <x:col min="16" max="16" width="44" hidden="0" customWidth="1"/>
    <x:col min="17" max="17" width="48" hidden="0" customWidth="1"/>
    <x:col min="18" max="18" width="38" hidden="0" customWidth="1"/>
    <x:col min="19" max="19" width="38" hidden="0" customWidth="1"/>
    <x:col min="20" max="20" width="42" hidden="0" customWidth="1"/>
    <x:col min="21" max="21" width="32" hidden="0" customWidth="1"/>
    <x:col min="22" max="22" width="28" hidden="0" customWidth="1"/>
    <x:col min="23" max="23" width="14" hidden="0" customWidth="1"/>
    <x:col min="24" max="24" width="16" hidden="0" customWidth="1"/>
    <x:col min="25" max="25" width="14" hidden="0" customWidth="1"/>
    <x:col min="26" max="26" width="20" hidden="0" customWidth="1"/>
  </x:cols>
  <x:sheetData>
    <x:row r="1" ht="30" customHeight="1">
      <x:c r="A1" s="3" t="str">
        <x:v>Jira Roadmap &amp; Work Breakdown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Epic/Task/Sub-task từ Phase 1–16. Cột Jira Key, Owner và Sprint để trống cho lúc tạo ticket thật.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34" customHeight="1">
      <x:c r="A4" s="34" t="str">
        <x:v>Local ID</x:v>
      </x:c>
      <x:c r="B4" s="35" t="str">
        <x:v>Parent Local ID</x:v>
      </x:c>
      <x:c r="C4" s="35" t="str">
        <x:v>Program Phase</x:v>
      </x:c>
      <x:c r="D4" s="35" t="str">
        <x:v>Slice</x:v>
      </x:c>
      <x:c r="E4" s="35" t="str">
        <x:v>Hierarchy</x:v>
      </x:c>
      <x:c r="F4" s="35" t="str">
        <x:v>Issue Type</x:v>
      </x:c>
      <x:c r="G4" s="35" t="str">
        <x:v>Summary</x:v>
      </x:c>
      <x:c r="H4" s="35" t="str">
        <x:v>Workstream</x:v>
      </x:c>
      <x:c r="I4" s="35" t="str">
        <x:v>Jira Status</x:v>
      </x:c>
      <x:c r="J4" s="35" t="str">
        <x:v>Practice Gate Verdict</x:v>
      </x:c>
      <x:c r="K4" s="35" t="str">
        <x:v>Priority</x:v>
      </x:c>
      <x:c r="L4" s="35" t="str">
        <x:v>Severity</x:v>
      </x:c>
      <x:c r="M4" s="35" t="str">
        <x:v>Confidence</x:v>
      </x:c>
      <x:c r="N4" s="35" t="str">
        <x:v>Create?</x:v>
      </x:c>
      <x:c r="O4" s="35" t="str">
        <x:v>Depends On</x:v>
      </x:c>
      <x:c r="P4" s="35" t="str">
        <x:v>Description</x:v>
      </x:c>
      <x:c r="Q4" s="35" t="str">
        <x:v>Acceptance Criteria</x:v>
      </x:c>
      <x:c r="R4" s="35" t="str">
        <x:v>Validation / Evidence</x:v>
      </x:c>
      <x:c r="S4" s="35" t="str">
        <x:v>Rollback / Safety</x:v>
      </x:c>
      <x:c r="T4" s="35" t="str">
        <x:v>Source MD</x:v>
      </x:c>
      <x:c r="U4" s="35" t="str">
        <x:v>Labels</x:v>
      </x:c>
      <x:c r="V4" s="35" t="str">
        <x:v>Component</x:v>
      </x:c>
      <x:c r="W4" s="35" t="str">
        <x:v>Jira Key</x:v>
      </x:c>
      <x:c r="X4" s="35" t="str">
        <x:v>Owner</x:v>
      </x:c>
      <x:c r="Y4" s="35" t="str">
        <x:v>Sprint</x:v>
      </x:c>
      <x:c r="Z4" s="36" t="str">
        <x:v>Target Release</x:v>
      </x:c>
    </x:row>
    <x:row r="5" ht="58" customHeight="1">
      <x:c r="A5" s="42" t="str">
        <x:v>PRA-PROGRAM</x:v>
      </x:c>
      <x:c r="B5" s="42" t="str"/>
      <x:c r="C5" s="42" t="n">
        <x:v>0</x:v>
      </x:c>
      <x:c r="D5" s="42" t="str">
        <x:v>PROGRAM</x:v>
      </x:c>
      <x:c r="E5" s="42" t="str">
        <x:v>Initiative</x:v>
      </x:c>
      <x:c r="F5" s="42" t="str">
        <x:v>Initiative</x:v>
      </x:c>
      <x:c r="G5" s="42" t="str">
        <x:v>PRACTICE — Production Readiness</x:v>
      </x:c>
      <x:c r="H5" s="42" t="str">
        <x:v>Program</x:v>
      </x:c>
      <x:c r="I5" s="42" t="str">
        <x:v>In Progress</x:v>
      </x:c>
      <x:c r="J5" s="42" t="str">
        <x:v>PHASE_13_OPEN</x:v>
      </x:c>
      <x:c r="K5" s="42" t="str">
        <x:v>Highest</x:v>
      </x:c>
      <x:c r="L5" s="42" t="str">
        <x:v>Informational</x:v>
      </x:c>
      <x:c r="M5" s="42" t="str">
        <x:v>Documented</x:v>
      </x:c>
      <x:c r="N5" s="42" t="str">
        <x:v>Yes</x:v>
      </x:c>
      <x:c r="O5" s="42" t="str"/>
      <x:c r="P5" s="42" t="str">
        <x:v>Chương trình tổng thể /practice từ Phase 1 đến Phase 16.</x:v>
      </x:c>
      <x:c r="Q5" s="42" t="str">
        <x:v>Mọi phase có gate, evidence, debt owner/trigger và capability-specific release verdict.</x:v>
      </x:c>
      <x:c r="R5" s="42" t="str">
        <x:v>Markdown-only planning at origin/feature/practice-reduce-scope@da350b5d.</x:v>
      </x:c>
      <x:c r="S5" s="42" t="str">
        <x:v>Không dùng Initiative này để cấp quyền thay đổi code hoặc dữ liệu.</x:v>
      </x:c>
      <x:c r="T5" s="42" t="str">
        <x:v>CODEX_PRACTICE_WORKFLOW.md; PRACTICE_PHASE_10_16_EXECUTION_BLUEPRINT.md</x:v>
      </x:c>
      <x:c r="U5" s="42" t="str">
        <x:v>practice,production-readiness</x:v>
      </x:c>
      <x:c r="V5" s="42" t="str">
        <x:v>Practice Program</x:v>
      </x:c>
      <x:c r="W5" s="42" t="str"/>
      <x:c r="X5" s="42" t="str"/>
      <x:c r="Y5" s="42" t="str"/>
      <x:c r="Z5" s="42" t="str">
        <x:v>Practice Roadmap</x:v>
      </x:c>
    </x:row>
    <x:row r="6" ht="58" customHeight="1">
      <x:c r="A6" s="43" t="str">
        <x:v>PRA-01</x:v>
      </x:c>
      <x:c r="B6" s="43" t="str">
        <x:v>PRA-PROGRAM</x:v>
      </x:c>
      <x:c r="C6" s="43" t="n">
        <x:v>1</x:v>
      </x:c>
      <x:c r="D6" s="43" t="str">
        <x:v>1</x:v>
      </x:c>
      <x:c r="E6" s="43" t="str">
        <x:v>Epic</x:v>
      </x:c>
      <x:c r="F6" s="43" t="str">
        <x:v>Epic</x:v>
      </x:c>
      <x:c r="G6" s="43" t="str">
        <x:v>Remove Legacy R/L Explanation</x:v>
      </x:c>
      <x:c r="H6" s="43" t="str">
        <x:v>R/L AI</x:v>
      </x:c>
      <x:c r="I6" s="43" t="str">
        <x:v>Done</x:v>
      </x:c>
      <x:c r="J6" s="43" t="str">
        <x:v>CLOSED_VERIFIED</x:v>
      </x:c>
      <x:c r="K6" s="43" t="str">
        <x:v>Medium</x:v>
      </x:c>
      <x:c r="L6" s="43" t="str">
        <x:v>Informational</x:v>
      </x:c>
      <x:c r="M6" s="43" t="str">
        <x:v>Documented</x:v>
      </x:c>
      <x:c r="N6" s="43" t="str">
        <x:v>Optional-History</x:v>
      </x:c>
      <x:c r="O6" s="43" t="str"/>
      <x:c r="P6" s="43" t="str">
        <x:v>Loại bỏ explanation/provider path trùng lặp và thống nhất nguồn giải thích.</x:v>
      </x:c>
      <x:c r="Q6" s="43" t="str">
        <x:v>Một production explanation source; không duplicate provider call; regression cost/privacy xanh.</x:v>
      </x:c>
      <x:c r="R6" s="43" t="str"/>
      <x:c r="S6" s="43" t="str"/>
      <x:c r="T6" s="43" t="str">
        <x:v>CODEX_PRACTICE_WORKFLOW.md §Phase 1</x:v>
      </x:c>
      <x:c r="U6" s="43" t="str">
        <x:v>practice</x:v>
      </x:c>
      <x:c r="V6" s="43" t="str">
        <x:v>Practice R/L AI</x:v>
      </x:c>
      <x:c r="W6" s="43" t="str"/>
      <x:c r="X6" s="43" t="str"/>
      <x:c r="Y6" s="43" t="str"/>
      <x:c r="Z6" s="43" t="str">
        <x:v>Historical</x:v>
      </x:c>
    </x:row>
    <x:row r="7" ht="58" customHeight="1">
      <x:c r="A7" s="43" t="str">
        <x:v>PRA-01-T01</x:v>
      </x:c>
      <x:c r="B7" s="43" t="str">
        <x:v>PRA-01</x:v>
      </x:c>
      <x:c r="C7" s="43" t="n">
        <x:v>1</x:v>
      </x:c>
      <x:c r="D7" s="43" t="str">
        <x:v>1</x:v>
      </x:c>
      <x:c r="E7" s="43" t="str">
        <x:v>Work Item</x:v>
      </x:c>
      <x:c r="F7" s="43" t="str">
        <x:v>Task</x:v>
      </x:c>
      <x:c r="G7" s="43" t="str">
        <x:v>Inventory và loại bỏ duplicate R/L provider paths</x:v>
      </x:c>
      <x:c r="H7" s="43" t="str">
        <x:v>R/L AI</x:v>
      </x:c>
      <x:c r="I7" s="43" t="str">
        <x:v>Done</x:v>
      </x:c>
      <x:c r="J7" s="43" t="str">
        <x:v>CLOSED_VERIFIED</x:v>
      </x:c>
      <x:c r="K7" s="43" t="str">
        <x:v>Medium</x:v>
      </x:c>
      <x:c r="L7" s="43" t="str">
        <x:v>Informational</x:v>
      </x:c>
      <x:c r="M7" s="43" t="str">
        <x:v>Documented</x:v>
      </x:c>
      <x:c r="N7" s="43" t="str">
        <x:v>Optional-History</x:v>
      </x:c>
      <x:c r="O7" s="43" t="str"/>
      <x:c r="P7" s="43" t="str">
        <x:v>Map caller/callee và retire path legacy.</x:v>
      </x:c>
      <x:c r="Q7" s="43" t="str">
        <x:v>Static call-site audit còn đúng một path.</x:v>
      </x:c>
      <x:c r="R7" s="43" t="str"/>
      <x:c r="S7" s="43" t="str"/>
      <x:c r="T7" s="43" t="str">
        <x:v>CODEX_PRACTICE_WORKFLOW.md §Phase 1</x:v>
      </x:c>
      <x:c r="U7" s="43" t="str">
        <x:v>practice</x:v>
      </x:c>
      <x:c r="V7" s="43" t="str">
        <x:v>Practice R/L AI</x:v>
      </x:c>
      <x:c r="W7" s="43" t="str"/>
      <x:c r="X7" s="43" t="str"/>
      <x:c r="Y7" s="43" t="str"/>
      <x:c r="Z7" s="43" t="str">
        <x:v>Historical</x:v>
      </x:c>
    </x:row>
    <x:row r="8" ht="58" customHeight="1">
      <x:c r="A8" s="43" t="str">
        <x:v>PRA-01-T02</x:v>
      </x:c>
      <x:c r="B8" s="43" t="str">
        <x:v>PRA-01</x:v>
      </x:c>
      <x:c r="C8" s="43" t="n">
        <x:v>1</x:v>
      </x:c>
      <x:c r="D8" s="43" t="str">
        <x:v>1</x:v>
      </x:c>
      <x:c r="E8" s="43" t="str">
        <x:v>Work Item</x:v>
      </x:c>
      <x:c r="F8" s="43" t="str">
        <x:v>Task</x:v>
      </x:c>
      <x:c r="G8" s="43" t="str">
        <x:v>Unify canonical R/L explanation source</x:v>
      </x:c>
      <x:c r="H8" s="43" t="str">
        <x:v>R/L AI</x:v>
      </x:c>
      <x:c r="I8" s="43" t="str">
        <x:v>Done</x:v>
      </x:c>
      <x:c r="J8" s="43" t="str">
        <x:v>CLOSED_VERIFIED</x:v>
      </x:c>
      <x:c r="K8" s="43" t="str">
        <x:v>Medium</x:v>
      </x:c>
      <x:c r="L8" s="43" t="str">
        <x:v>Informational</x:v>
      </x:c>
      <x:c r="M8" s="43" t="str">
        <x:v>Documented</x:v>
      </x:c>
      <x:c r="N8" s="43" t="str">
        <x:v>Optional-History</x:v>
      </x:c>
      <x:c r="O8" s="43" t="str"/>
      <x:c r="P8" s="43" t="str"/>
      <x:c r="Q8" s="43" t="str">
        <x:v>Mọi result/detail đọc cùng canonical contract.</x:v>
      </x:c>
      <x:c r="R8" s="43" t="str"/>
      <x:c r="S8" s="43" t="str"/>
      <x:c r="T8" s="43" t="str">
        <x:v>CODEX_PRACTICE_WORKFLOW.md §Phase 1</x:v>
      </x:c>
      <x:c r="U8" s="43" t="str">
        <x:v>practice</x:v>
      </x:c>
      <x:c r="V8" s="43" t="str">
        <x:v>Practice R/L AI</x:v>
      </x:c>
      <x:c r="W8" s="43" t="str"/>
      <x:c r="X8" s="43" t="str"/>
      <x:c r="Y8" s="43" t="str"/>
      <x:c r="Z8" s="43" t="str">
        <x:v>Historical</x:v>
      </x:c>
    </x:row>
    <x:row r="9" ht="58" customHeight="1">
      <x:c r="A9" s="43" t="str">
        <x:v>PRA-01-T03</x:v>
      </x:c>
      <x:c r="B9" s="43" t="str">
        <x:v>PRA-01</x:v>
      </x:c>
      <x:c r="C9" s="43" t="n">
        <x:v>1</x:v>
      </x:c>
      <x:c r="D9" s="43" t="str">
        <x:v>1</x:v>
      </x:c>
      <x:c r="E9" s="43" t="str">
        <x:v>Work Item</x:v>
      </x:c>
      <x:c r="F9" s="43" t="str">
        <x:v>Task</x:v>
      </x:c>
      <x:c r="G9" s="43" t="str">
        <x:v>Regression cost, fallback và privacy</x:v>
      </x:c>
      <x:c r="H9" s="43" t="str">
        <x:v>R/L AI</x:v>
      </x:c>
      <x:c r="I9" s="43" t="str">
        <x:v>Done</x:v>
      </x:c>
      <x:c r="J9" s="43" t="str">
        <x:v>CLOSED_VERIFIED</x:v>
      </x:c>
      <x:c r="K9" s="43" t="str">
        <x:v>Medium</x:v>
      </x:c>
      <x:c r="L9" s="43" t="str">
        <x:v>Informational</x:v>
      </x:c>
      <x:c r="M9" s="43" t="str">
        <x:v>Documented</x:v>
      </x:c>
      <x:c r="N9" s="43" t="str">
        <x:v>Optional-History</x:v>
      </x:c>
      <x:c r="O9" s="43" t="str"/>
      <x:c r="P9" s="43" t="str"/>
      <x:c r="Q9" s="43" t="str">
        <x:v>Không tăng provider call; không lộ prompt/answer/provider body.</x:v>
      </x:c>
      <x:c r="R9" s="43" t="str"/>
      <x:c r="S9" s="43" t="str"/>
      <x:c r="T9" s="43" t="str">
        <x:v>CODEX_PRACTICE_WORKFLOW.md §Phase 1</x:v>
      </x:c>
      <x:c r="U9" s="43" t="str">
        <x:v>practice</x:v>
      </x:c>
      <x:c r="V9" s="43" t="str">
        <x:v>Practice R/L AI</x:v>
      </x:c>
      <x:c r="W9" s="43" t="str"/>
      <x:c r="X9" s="43" t="str"/>
      <x:c r="Y9" s="43" t="str"/>
      <x:c r="Z9" s="43" t="str">
        <x:v>Historical</x:v>
      </x:c>
    </x:row>
    <x:row r="10" ht="58" customHeight="1">
      <x:c r="A10" s="43" t="str">
        <x:v>PRA-02</x:v>
      </x:c>
      <x:c r="B10" s="43" t="str">
        <x:v>PRA-PROGRAM</x:v>
      </x:c>
      <x:c r="C10" s="43" t="n">
        <x:v>2</x:v>
      </x:c>
      <x:c r="D10" s="43" t="str">
        <x:v>2</x:v>
      </x:c>
      <x:c r="E10" s="43" t="str">
        <x:v>Epic</x:v>
      </x:c>
      <x:c r="F10" s="43" t="str">
        <x:v>Epic</x:v>
      </x:c>
      <x:c r="G10" s="43" t="str">
        <x:v>AI Logging &amp; Privacy Hardening</x:v>
      </x:c>
      <x:c r="H10" s="43" t="str">
        <x:v>Security &amp; Privacy</x:v>
      </x:c>
      <x:c r="I10" s="43" t="str">
        <x:v>Done</x:v>
      </x:c>
      <x:c r="J10" s="43" t="str">
        <x:v>CLOSED_VERIFIED</x:v>
      </x:c>
      <x:c r="K10" s="43" t="str">
        <x:v>Medium</x:v>
      </x:c>
      <x:c r="L10" s="43" t="str">
        <x:v>Informational</x:v>
      </x:c>
      <x:c r="M10" s="43" t="str">
        <x:v>Documented</x:v>
      </x:c>
      <x:c r="N10" s="43" t="str">
        <x:v>Optional-History</x:v>
      </x:c>
      <x:c r="O10" s="43" t="str"/>
      <x:c r="P10" s="43" t="str">
        <x:v>Ngăn logging dữ liệu AI và learner nhạy cảm.</x:v>
      </x:c>
      <x:c r="Q10" s="43" t="str">
        <x:v>Không log provider body, prompt, learner answer, evidence hoặc cache key.</x:v>
      </x:c>
      <x:c r="R10" s="43" t="str"/>
      <x:c r="S10" s="43" t="str"/>
      <x:c r="T10" s="43" t="str">
        <x:v>CODEX_PRACTICE_WORKFLOW.md §Phase 2</x:v>
      </x:c>
      <x:c r="U10" s="43" t="str">
        <x:v>practice</x:v>
      </x:c>
      <x:c r="V10" s="43" t="str">
        <x:v>Practice Security</x:v>
      </x:c>
      <x:c r="W10" s="43" t="str"/>
      <x:c r="X10" s="43" t="str"/>
      <x:c r="Y10" s="43" t="str"/>
      <x:c r="Z10" s="43" t="str">
        <x:v>Historical</x:v>
      </x:c>
    </x:row>
    <x:row r="11" ht="58" customHeight="1">
      <x:c r="A11" s="43" t="str">
        <x:v>PRA-02-T01</x:v>
      </x:c>
      <x:c r="B11" s="43" t="str">
        <x:v>PRA-02</x:v>
      </x:c>
      <x:c r="C11" s="43" t="n">
        <x:v>2</x:v>
      </x:c>
      <x:c r="D11" s="43" t="str">
        <x:v>2</x:v>
      </x:c>
      <x:c r="E11" s="43" t="str">
        <x:v>Work Item</x:v>
      </x:c>
      <x:c r="F11" s="43" t="str">
        <x:v>Task</x:v>
      </x:c>
      <x:c r="G11" s="43" t="str">
        <x:v>Redact AI request/response logging</x:v>
      </x:c>
      <x:c r="H11" s="43" t="str">
        <x:v>Security &amp; Privacy</x:v>
      </x:c>
      <x:c r="I11" s="43" t="str">
        <x:v>Done</x:v>
      </x:c>
      <x:c r="J11" s="43" t="str">
        <x:v>CLOSED_VERIFIED</x:v>
      </x:c>
      <x:c r="K11" s="43" t="str">
        <x:v>Medium</x:v>
      </x:c>
      <x:c r="L11" s="43" t="str">
        <x:v>Informational</x:v>
      </x:c>
      <x:c r="M11" s="43" t="str">
        <x:v>Documented</x:v>
      </x:c>
      <x:c r="N11" s="43" t="str">
        <x:v>Optional-History</x:v>
      </x:c>
      <x:c r="O11" s="43" t="str"/>
      <x:c r="P11" s="43" t="str"/>
      <x:c r="Q11" s="43" t="str">
        <x:v>Logs chỉ chứa bounded metadata và correlation ID.</x:v>
      </x:c>
      <x:c r="R11" s="43" t="str"/>
      <x:c r="S11" s="43" t="str"/>
      <x:c r="T11" s="43" t="str">
        <x:v>CODEX_PRACTICE_WORKFLOW.md §Phase 2</x:v>
      </x:c>
      <x:c r="U11" s="43" t="str">
        <x:v>practice</x:v>
      </x:c>
      <x:c r="V11" s="43" t="str">
        <x:v>Practice Security</x:v>
      </x:c>
      <x:c r="W11" s="43" t="str"/>
      <x:c r="X11" s="43" t="str"/>
      <x:c r="Y11" s="43" t="str"/>
      <x:c r="Z11" s="43" t="str">
        <x:v>Historical</x:v>
      </x:c>
    </x:row>
    <x:row r="12" ht="58" customHeight="1">
      <x:c r="A12" s="43" t="str">
        <x:v>PRA-02-T02</x:v>
      </x:c>
      <x:c r="B12" s="43" t="str">
        <x:v>PRA-02</x:v>
      </x:c>
      <x:c r="C12" s="43" t="n">
        <x:v>2</x:v>
      </x:c>
      <x:c r="D12" s="43" t="str">
        <x:v>2</x:v>
      </x:c>
      <x:c r="E12" s="43" t="str">
        <x:v>Work Item</x:v>
      </x:c>
      <x:c r="F12" s="43" t="str">
        <x:v>Task</x:v>
      </x:c>
      <x:c r="G12" s="43" t="str">
        <x:v>Harden error response privacy</x:v>
      </x:c>
      <x:c r="H12" s="43" t="str">
        <x:v>Security &amp; Privacy</x:v>
      </x:c>
      <x:c r="I12" s="43" t="str">
        <x:v>Done</x:v>
      </x:c>
      <x:c r="J12" s="43" t="str">
        <x:v>CLOSED_VERIFIED</x:v>
      </x:c>
      <x:c r="K12" s="43" t="str">
        <x:v>Medium</x:v>
      </x:c>
      <x:c r="L12" s="43" t="str">
        <x:v>Informational</x:v>
      </x:c>
      <x:c r="M12" s="43" t="str">
        <x:v>Documented</x:v>
      </x:c>
      <x:c r="N12" s="43" t="str">
        <x:v>Optional-History</x:v>
      </x:c>
      <x:c r="O12" s="43" t="str"/>
      <x:c r="P12" s="43" t="str"/>
      <x:c r="Q12" s="43" t="str">
        <x:v>Không render provider body, secret hoặc private storage path.</x:v>
      </x:c>
      <x:c r="R12" s="43" t="str"/>
      <x:c r="S12" s="43" t="str"/>
      <x:c r="T12" s="43" t="str">
        <x:v>CODEX_PRACTICE_WORKFLOW.md §Phase 2</x:v>
      </x:c>
      <x:c r="U12" s="43" t="str">
        <x:v>practice</x:v>
      </x:c>
      <x:c r="V12" s="43" t="str">
        <x:v>Practice Security</x:v>
      </x:c>
      <x:c r="W12" s="43" t="str"/>
      <x:c r="X12" s="43" t="str"/>
      <x:c r="Y12" s="43" t="str"/>
      <x:c r="Z12" s="43" t="str">
        <x:v>Historical</x:v>
      </x:c>
    </x:row>
    <x:row r="13" ht="58" customHeight="1">
      <x:c r="A13" s="43" t="str">
        <x:v>PRA-02-T03</x:v>
      </x:c>
      <x:c r="B13" s="43" t="str">
        <x:v>PRA-02</x:v>
      </x:c>
      <x:c r="C13" s="43" t="n">
        <x:v>2</x:v>
      </x:c>
      <x:c r="D13" s="43" t="str">
        <x:v>2</x:v>
      </x:c>
      <x:c r="E13" s="43" t="str">
        <x:v>Work Item</x:v>
      </x:c>
      <x:c r="F13" s="43" t="str">
        <x:v>Task</x:v>
      </x:c>
      <x:c r="G13" s="43" t="str">
        <x:v>Add negative no-leak regression evidence</x:v>
      </x:c>
      <x:c r="H13" s="43" t="str">
        <x:v>Security &amp; Privacy</x:v>
      </x:c>
      <x:c r="I13" s="43" t="str">
        <x:v>Done</x:v>
      </x:c>
      <x:c r="J13" s="43" t="str">
        <x:v>CLOSED_VERIFIED</x:v>
      </x:c>
      <x:c r="K13" s="43" t="str">
        <x:v>Medium</x:v>
      </x:c>
      <x:c r="L13" s="43" t="str">
        <x:v>Informational</x:v>
      </x:c>
      <x:c r="M13" s="43" t="str">
        <x:v>Documented</x:v>
      </x:c>
      <x:c r="N13" s="43" t="str">
        <x:v>Optional-History</x:v>
      </x:c>
      <x:c r="O13" s="43" t="str"/>
      <x:c r="P13" s="43" t="str"/>
      <x:c r="Q13" s="43" t="str">
        <x:v>Tests chứng minh prompt, answer và secrets không xuất hiện.</x:v>
      </x:c>
      <x:c r="R13" s="43" t="str"/>
      <x:c r="S13" s="43" t="str"/>
      <x:c r="T13" s="43" t="str">
        <x:v>CODEX_PRACTICE_WORKFLOW.md §Phase 2</x:v>
      </x:c>
      <x:c r="U13" s="43" t="str">
        <x:v>practice</x:v>
      </x:c>
      <x:c r="V13" s="43" t="str">
        <x:v>Practice Security</x:v>
      </x:c>
      <x:c r="W13" s="43" t="str"/>
      <x:c r="X13" s="43" t="str"/>
      <x:c r="Y13" s="43" t="str"/>
      <x:c r="Z13" s="43" t="str">
        <x:v>Historical</x:v>
      </x:c>
    </x:row>
    <x:row r="14" ht="58" customHeight="1">
      <x:c r="A14" s="43" t="str">
        <x:v>PRA-03</x:v>
      </x:c>
      <x:c r="B14" s="43" t="str">
        <x:v>PRA-PROGRAM</x:v>
      </x:c>
      <x:c r="C14" s="43" t="n">
        <x:v>3</x:v>
      </x:c>
      <x:c r="D14" s="43" t="str">
        <x:v>3</x:v>
      </x:c>
      <x:c r="E14" s="43" t="str">
        <x:v>Epic</x:v>
      </x:c>
      <x:c r="F14" s="43" t="str">
        <x:v>Epic</x:v>
      </x:c>
      <x:c r="G14" s="43" t="str">
        <x:v>Transaction Boundary Hardening</x:v>
      </x:c>
      <x:c r="H14" s="43" t="str">
        <x:v>Transactions</x:v>
      </x:c>
      <x:c r="I14" s="43" t="str">
        <x:v>Done</x:v>
      </x:c>
      <x:c r="J14" s="43" t="str">
        <x:v>CLOSED_VERIFIED</x:v>
      </x:c>
      <x:c r="K14" s="43" t="str">
        <x:v>Medium</x:v>
      </x:c>
      <x:c r="L14" s="43" t="str">
        <x:v>Informational</x:v>
      </x:c>
      <x:c r="M14" s="43" t="str">
        <x:v>Documented</x:v>
      </x:c>
      <x:c r="N14" s="43" t="str">
        <x:v>Optional-History</x:v>
      </x:c>
      <x:c r="O14" s="43" t="str"/>
      <x:c r="P14" s="43" t="str">
        <x:v>Đưa provider I/O ra ngoài DB transaction.</x:v>
      </x:c>
      <x:c r="Q14" s="43" t="str">
        <x:v>Snapshot/read → provider outside transaction → persist in bounded transaction.</x:v>
      </x:c>
      <x:c r="R14" s="43" t="str"/>
      <x:c r="S14" s="43" t="str"/>
      <x:c r="T14" s="43" t="str">
        <x:v>CODEX_PRACTICE_WORKFLOW.md §Phase 3</x:v>
      </x:c>
      <x:c r="U14" s="43" t="str">
        <x:v>practice</x:v>
      </x:c>
      <x:c r="V14" s="43" t="str">
        <x:v>Practice Persistence/Migration</x:v>
      </x:c>
      <x:c r="W14" s="43" t="str"/>
      <x:c r="X14" s="43" t="str"/>
      <x:c r="Y14" s="43" t="str"/>
      <x:c r="Z14" s="43" t="str">
        <x:v>Historical</x:v>
      </x:c>
    </x:row>
    <x:row r="15" ht="58" customHeight="1">
      <x:c r="A15" s="43" t="str">
        <x:v>PRA-03-T01</x:v>
      </x:c>
      <x:c r="B15" s="43" t="str">
        <x:v>PRA-03</x:v>
      </x:c>
      <x:c r="C15" s="43" t="n">
        <x:v>3</x:v>
      </x:c>
      <x:c r="D15" s="43" t="str">
        <x:v>3</x:v>
      </x:c>
      <x:c r="E15" s="43" t="str">
        <x:v>Work Item</x:v>
      </x:c>
      <x:c r="F15" s="43" t="str">
        <x:v>Task</x:v>
      </x:c>
      <x:c r="G15" s="43" t="str">
        <x:v>Snapshot provider input before external call</x:v>
      </x:c>
      <x:c r="H15" s="43" t="str">
        <x:v>Transactions</x:v>
      </x:c>
      <x:c r="I15" s="43" t="str">
        <x:v>Done</x:v>
      </x:c>
      <x:c r="J15" s="43" t="str">
        <x:v>CLOSED_VERIFIED</x:v>
      </x:c>
      <x:c r="K15" s="43" t="str">
        <x:v>Medium</x:v>
      </x:c>
      <x:c r="L15" s="43" t="str">
        <x:v>Informational</x:v>
      </x:c>
      <x:c r="M15" s="43" t="str">
        <x:v>Documented</x:v>
      </x:c>
      <x:c r="N15" s="43" t="str">
        <x:v>Optional-History</x:v>
      </x:c>
      <x:c r="O15" s="43" t="str"/>
      <x:c r="P15" s="43" t="str"/>
      <x:c r="Q15" s="43" t="str">
        <x:v>Input ổn định và không giữ DB connection.</x:v>
      </x:c>
      <x:c r="R15" s="43" t="str"/>
      <x:c r="S15" s="43" t="str"/>
      <x:c r="T15" s="43" t="str">
        <x:v>CODEX_PRACTICE_WORKFLOW.md §Phase 3</x:v>
      </x:c>
      <x:c r="U15" s="43" t="str">
        <x:v>practice</x:v>
      </x:c>
      <x:c r="V15" s="43" t="str">
        <x:v>Practice Persistence/Migration</x:v>
      </x:c>
      <x:c r="W15" s="43" t="str"/>
      <x:c r="X15" s="43" t="str"/>
      <x:c r="Y15" s="43" t="str"/>
      <x:c r="Z15" s="43" t="str">
        <x:v>Historical</x:v>
      </x:c>
    </x:row>
    <x:row r="16" ht="58" customHeight="1">
      <x:c r="A16" s="43" t="str">
        <x:v>PRA-03-T02</x:v>
      </x:c>
      <x:c r="B16" s="43" t="str">
        <x:v>PRA-03</x:v>
      </x:c>
      <x:c r="C16" s="43" t="n">
        <x:v>3</x:v>
      </x:c>
      <x:c r="D16" s="43" t="str">
        <x:v>3</x:v>
      </x:c>
      <x:c r="E16" s="43" t="str">
        <x:v>Work Item</x:v>
      </x:c>
      <x:c r="F16" s="43" t="str">
        <x:v>Task</x:v>
      </x:c>
      <x:c r="G16" s="43" t="str">
        <x:v>Persist result in separate bounded transaction</x:v>
      </x:c>
      <x:c r="H16" s="43" t="str">
        <x:v>Transactions</x:v>
      </x:c>
      <x:c r="I16" s="43" t="str">
        <x:v>Done</x:v>
      </x:c>
      <x:c r="J16" s="43" t="str">
        <x:v>CLOSED_VERIFIED</x:v>
      </x:c>
      <x:c r="K16" s="43" t="str">
        <x:v>Medium</x:v>
      </x:c>
      <x:c r="L16" s="43" t="str">
        <x:v>Informational</x:v>
      </x:c>
      <x:c r="M16" s="43" t="str">
        <x:v>Documented</x:v>
      </x:c>
      <x:c r="N16" s="43" t="str">
        <x:v>Optional-History</x:v>
      </x:c>
      <x:c r="O16" s="43" t="str"/>
      <x:c r="P16" s="43" t="str"/>
      <x:c r="Q16" s="43" t="str">
        <x:v>Provider timeout không rollback business transaction dài.</x:v>
      </x:c>
      <x:c r="R16" s="43" t="str"/>
      <x:c r="S16" s="43" t="str"/>
      <x:c r="T16" s="43" t="str">
        <x:v>CODEX_PRACTICE_WORKFLOW.md §Phase 3</x:v>
      </x:c>
      <x:c r="U16" s="43" t="str">
        <x:v>practice</x:v>
      </x:c>
      <x:c r="V16" s="43" t="str">
        <x:v>Practice Persistence/Migration</x:v>
      </x:c>
      <x:c r="W16" s="43" t="str"/>
      <x:c r="X16" s="43" t="str"/>
      <x:c r="Y16" s="43" t="str"/>
      <x:c r="Z16" s="43" t="str">
        <x:v>Historical</x:v>
      </x:c>
    </x:row>
    <x:row r="17" ht="58" customHeight="1">
      <x:c r="A17" s="43" t="str">
        <x:v>PRA-03-T03</x:v>
      </x:c>
      <x:c r="B17" s="43" t="str">
        <x:v>PRA-03</x:v>
      </x:c>
      <x:c r="C17" s="43" t="n">
        <x:v>3</x:v>
      </x:c>
      <x:c r="D17" s="43" t="str">
        <x:v>3</x:v>
      </x:c>
      <x:c r="E17" s="43" t="str">
        <x:v>Work Item</x:v>
      </x:c>
      <x:c r="F17" s="43" t="str">
        <x:v>Task</x:v>
      </x:c>
      <x:c r="G17" s="43" t="str">
        <x:v>Failure and retry transaction tests</x:v>
      </x:c>
      <x:c r="H17" s="43" t="str">
        <x:v>Transactions</x:v>
      </x:c>
      <x:c r="I17" s="43" t="str">
        <x:v>Done</x:v>
      </x:c>
      <x:c r="J17" s="43" t="str">
        <x:v>CLOSED_VERIFIED</x:v>
      </x:c>
      <x:c r="K17" s="43" t="str">
        <x:v>Medium</x:v>
      </x:c>
      <x:c r="L17" s="43" t="str">
        <x:v>Informational</x:v>
      </x:c>
      <x:c r="M17" s="43" t="str">
        <x:v>Documented</x:v>
      </x:c>
      <x:c r="N17" s="43" t="str">
        <x:v>Optional-History</x:v>
      </x:c>
      <x:c r="O17" s="43" t="str"/>
      <x:c r="P17" s="43" t="str"/>
      <x:c r="Q17" s="43" t="str">
        <x:v>No lost update, duplicate write hoặc connection retention.</x:v>
      </x:c>
      <x:c r="R17" s="43" t="str"/>
      <x:c r="S17" s="43" t="str"/>
      <x:c r="T17" s="43" t="str">
        <x:v>CODEX_PRACTICE_WORKFLOW.md §Phase 3</x:v>
      </x:c>
      <x:c r="U17" s="43" t="str">
        <x:v>practice</x:v>
      </x:c>
      <x:c r="V17" s="43" t="str">
        <x:v>Practice Persistence/Migration</x:v>
      </x:c>
      <x:c r="W17" s="43" t="str"/>
      <x:c r="X17" s="43" t="str"/>
      <x:c r="Y17" s="43" t="str"/>
      <x:c r="Z17" s="43" t="str">
        <x:v>Historical</x:v>
      </x:c>
    </x:row>
    <x:row r="18" ht="58" customHeight="1">
      <x:c r="A18" s="43" t="str">
        <x:v>PRA-04</x:v>
      </x:c>
      <x:c r="B18" s="43" t="str">
        <x:v>PRA-PROGRAM</x:v>
      </x:c>
      <x:c r="C18" s="43" t="n">
        <x:v>4</x:v>
      </x:c>
      <x:c r="D18" s="43" t="str">
        <x:v>4</x:v>
      </x:c>
      <x:c r="E18" s="43" t="str">
        <x:v>Epic</x:v>
      </x:c>
      <x:c r="F18" s="43" t="str">
        <x:v>Epic</x:v>
      </x:c>
      <x:c r="G18" s="43" t="str">
        <x:v>Per-Question Writing Re-evaluate</x:v>
      </x:c>
      <x:c r="H18" s="43" t="str">
        <x:v>Writing AI</x:v>
      </x:c>
      <x:c r="I18" s="43" t="str">
        <x:v>Done</x:v>
      </x:c>
      <x:c r="J18" s="43" t="str">
        <x:v>CLOSED_VERIFIED</x:v>
      </x:c>
      <x:c r="K18" s="43" t="str">
        <x:v>Medium</x:v>
      </x:c>
      <x:c r="L18" s="43" t="str">
        <x:v>Informational</x:v>
      </x:c>
      <x:c r="M18" s="43" t="str">
        <x:v>Documented</x:v>
      </x:c>
      <x:c r="N18" s="43" t="str">
        <x:v>Optional-History</x:v>
      </x:c>
      <x:c r="O18" s="43" t="str"/>
      <x:c r="P18" s="43" t="str">
        <x:v>Chấm lại một câu Writing mà không phá feedback câu khác.</x:v>
      </x:c>
      <x:c r="Q18" s="43" t="str">
        <x:v>Target question thay đổi; non-target feedback được giữ; request idempotent.</x:v>
      </x:c>
      <x:c r="R18" s="43" t="str"/>
      <x:c r="S18" s="43" t="str"/>
      <x:c r="T18" s="43" t="str">
        <x:v>CODEX_PRACTICE_WORKFLOW.md §Phase 4</x:v>
      </x:c>
      <x:c r="U18" s="43" t="str">
        <x:v>practice</x:v>
      </x:c>
      <x:c r="V18" s="43" t="str">
        <x:v>Practice Writing AI</x:v>
      </x:c>
      <x:c r="W18" s="43" t="str"/>
      <x:c r="X18" s="43" t="str"/>
      <x:c r="Y18" s="43" t="str"/>
      <x:c r="Z18" s="43" t="str">
        <x:v>Historical</x:v>
      </x:c>
    </x:row>
    <x:row r="19" ht="58" customHeight="1">
      <x:c r="A19" s="43" t="str">
        <x:v>PRA-04-T01</x:v>
      </x:c>
      <x:c r="B19" s="43" t="str">
        <x:v>PRA-04</x:v>
      </x:c>
      <x:c r="C19" s="43" t="n">
        <x:v>4</x:v>
      </x:c>
      <x:c r="D19" s="43" t="str">
        <x:v>4</x:v>
      </x:c>
      <x:c r="E19" s="43" t="str">
        <x:v>Work Item</x:v>
      </x:c>
      <x:c r="F19" s="43" t="str">
        <x:v>Task</x:v>
      </x:c>
      <x:c r="G19" s="43" t="str">
        <x:v>Target one Writing question for re-evaluation</x:v>
      </x:c>
      <x:c r="H19" s="43" t="str">
        <x:v>Writing AI</x:v>
      </x:c>
      <x:c r="I19" s="43" t="str">
        <x:v>Done</x:v>
      </x:c>
      <x:c r="J19" s="43" t="str">
        <x:v>CLOSED_VERIFIED</x:v>
      </x:c>
      <x:c r="K19" s="43" t="str">
        <x:v>Medium</x:v>
      </x:c>
      <x:c r="L19" s="43" t="str">
        <x:v>Informational</x:v>
      </x:c>
      <x:c r="M19" s="43" t="str">
        <x:v>Documented</x:v>
      </x:c>
      <x:c r="N19" s="43" t="str">
        <x:v>Optional-History</x:v>
      </x:c>
      <x:c r="O19" s="43" t="str"/>
      <x:c r="P19" s="43" t="str"/>
      <x:c r="Q19" s="43" t="str">
        <x:v>Immutable question/task identity được kiểm tra.</x:v>
      </x:c>
      <x:c r="R19" s="43" t="str"/>
      <x:c r="S19" s="43" t="str"/>
      <x:c r="T19" s="43" t="str">
        <x:v>CODEX_PRACTICE_WORKFLOW.md §Phase 4</x:v>
      </x:c>
      <x:c r="U19" s="43" t="str">
        <x:v>practice</x:v>
      </x:c>
      <x:c r="V19" s="43" t="str">
        <x:v>Practice Writing AI</x:v>
      </x:c>
      <x:c r="W19" s="43" t="str"/>
      <x:c r="X19" s="43" t="str"/>
      <x:c r="Y19" s="43" t="str"/>
      <x:c r="Z19" s="43" t="str">
        <x:v>Historical</x:v>
      </x:c>
    </x:row>
    <x:row r="20" ht="58" customHeight="1">
      <x:c r="A20" s="43" t="str">
        <x:v>PRA-04-T02</x:v>
      </x:c>
      <x:c r="B20" s="43" t="str">
        <x:v>PRA-04</x:v>
      </x:c>
      <x:c r="C20" s="43" t="n">
        <x:v>4</x:v>
      </x:c>
      <x:c r="D20" s="43" t="str">
        <x:v>4</x:v>
      </x:c>
      <x:c r="E20" s="43" t="str">
        <x:v>Work Item</x:v>
      </x:c>
      <x:c r="F20" s="43" t="str">
        <x:v>Task</x:v>
      </x:c>
      <x:c r="G20" s="43" t="str">
        <x:v>Preserve unrelated feedback</x:v>
      </x:c>
      <x:c r="H20" s="43" t="str">
        <x:v>Writing AI</x:v>
      </x:c>
      <x:c r="I20" s="43" t="str">
        <x:v>Done</x:v>
      </x:c>
      <x:c r="J20" s="43" t="str">
        <x:v>CLOSED_VERIFIED</x:v>
      </x:c>
      <x:c r="K20" s="43" t="str">
        <x:v>Medium</x:v>
      </x:c>
      <x:c r="L20" s="43" t="str">
        <x:v>Informational</x:v>
      </x:c>
      <x:c r="M20" s="43" t="str">
        <x:v>Documented</x:v>
      </x:c>
      <x:c r="N20" s="43" t="str">
        <x:v>Optional-History</x:v>
      </x:c>
      <x:c r="O20" s="43" t="str"/>
      <x:c r="P20" s="43" t="str"/>
      <x:c r="Q20" s="43" t="str">
        <x:v>Các câu khác giữ nguyên score và evidence.</x:v>
      </x:c>
      <x:c r="R20" s="43" t="str"/>
      <x:c r="S20" s="43" t="str"/>
      <x:c r="T20" s="43" t="str">
        <x:v>CODEX_PRACTICE_WORKFLOW.md §Phase 4</x:v>
      </x:c>
      <x:c r="U20" s="43" t="str">
        <x:v>practice</x:v>
      </x:c>
      <x:c r="V20" s="43" t="str">
        <x:v>Practice Writing AI</x:v>
      </x:c>
      <x:c r="W20" s="43" t="str"/>
      <x:c r="X20" s="43" t="str"/>
      <x:c r="Y20" s="43" t="str"/>
      <x:c r="Z20" s="43" t="str">
        <x:v>Historical</x:v>
      </x:c>
    </x:row>
    <x:row r="21" ht="58" customHeight="1">
      <x:c r="A21" s="43" t="str">
        <x:v>PRA-04-T03</x:v>
      </x:c>
      <x:c r="B21" s="43" t="str">
        <x:v>PRA-04</x:v>
      </x:c>
      <x:c r="C21" s="43" t="n">
        <x:v>4</x:v>
      </x:c>
      <x:c r="D21" s="43" t="str">
        <x:v>4</x:v>
      </x:c>
      <x:c r="E21" s="43" t="str">
        <x:v>Work Item</x:v>
      </x:c>
      <x:c r="F21" s="43" t="str">
        <x:v>Task</x:v>
      </x:c>
      <x:c r="G21" s="43" t="str">
        <x:v>Re-evaluation idempotency and failure handling</x:v>
      </x:c>
      <x:c r="H21" s="43" t="str">
        <x:v>Writing AI</x:v>
      </x:c>
      <x:c r="I21" s="43" t="str">
        <x:v>Done</x:v>
      </x:c>
      <x:c r="J21" s="43" t="str">
        <x:v>CLOSED_VERIFIED</x:v>
      </x:c>
      <x:c r="K21" s="43" t="str">
        <x:v>Medium</x:v>
      </x:c>
      <x:c r="L21" s="43" t="str">
        <x:v>Informational</x:v>
      </x:c>
      <x:c r="M21" s="43" t="str">
        <x:v>Documented</x:v>
      </x:c>
      <x:c r="N21" s="43" t="str">
        <x:v>Optional-History</x:v>
      </x:c>
      <x:c r="O21" s="43" t="str"/>
      <x:c r="P21" s="43" t="str"/>
      <x:c r="Q21" s="43" t="str">
        <x:v>Provider lỗi không xóa kết quả hợp lệ trước đó.</x:v>
      </x:c>
      <x:c r="R21" s="43" t="str"/>
      <x:c r="S21" s="43" t="str"/>
      <x:c r="T21" s="43" t="str">
        <x:v>CODEX_PRACTICE_WORKFLOW.md §Phase 4</x:v>
      </x:c>
      <x:c r="U21" s="43" t="str">
        <x:v>practice</x:v>
      </x:c>
      <x:c r="V21" s="43" t="str">
        <x:v>Practice Writing AI</x:v>
      </x:c>
      <x:c r="W21" s="43" t="str"/>
      <x:c r="X21" s="43" t="str"/>
      <x:c r="Y21" s="43" t="str"/>
      <x:c r="Z21" s="43" t="str">
        <x:v>Historical</x:v>
      </x:c>
    </x:row>
    <x:row r="22" ht="58" customHeight="1">
      <x:c r="A22" s="43" t="str">
        <x:v>PRA-05</x:v>
      </x:c>
      <x:c r="B22" s="43" t="str">
        <x:v>PRA-PROGRAM</x:v>
      </x:c>
      <x:c r="C22" s="43" t="n">
        <x:v>5</x:v>
      </x:c>
      <x:c r="D22" s="43" t="str">
        <x:v>5</x:v>
      </x:c>
      <x:c r="E22" s="43" t="str">
        <x:v>Epic</x:v>
      </x:c>
      <x:c r="F22" s="43" t="str">
        <x:v>Epic</x:v>
      </x:c>
      <x:c r="G22" s="43" t="str">
        <x:v>Typed AI Result DTO</x:v>
      </x:c>
      <x:c r="H22" s="43" t="str">
        <x:v>AI Contract</x:v>
      </x:c>
      <x:c r="I22" s="43" t="str">
        <x:v>Done</x:v>
      </x:c>
      <x:c r="J22" s="43" t="str">
        <x:v>CLOSED_VERIFIED</x:v>
      </x:c>
      <x:c r="K22" s="43" t="str">
        <x:v>Medium</x:v>
      </x:c>
      <x:c r="L22" s="43" t="str">
        <x:v>Informational</x:v>
      </x:c>
      <x:c r="M22" s="43" t="str">
        <x:v>Documented</x:v>
      </x:c>
      <x:c r="N22" s="43" t="str">
        <x:v>Optional-History</x:v>
      </x:c>
      <x:c r="O22" s="43" t="str"/>
      <x:c r="P22" s="43" t="str">
        <x:v>Chuẩn hóa typed score/rubric/evidence/result DTO và compatibility reader.</x:v>
      </x:c>
      <x:c r="Q22" s="43" t="str">
        <x:v>Presentation không parse score từ prose; legacy payload được xử lý có chủ đích.</x:v>
      </x:c>
      <x:c r="R22" s="43" t="str"/>
      <x:c r="S22" s="43" t="str"/>
      <x:c r="T22" s="43" t="str">
        <x:v>CODEX_PRACTICE_WORKFLOW.md §Phase 5</x:v>
      </x:c>
      <x:c r="U22" s="43" t="str">
        <x:v>practice</x:v>
      </x:c>
      <x:c r="V22" s="43" t="str">
        <x:v>Practice Result</x:v>
      </x:c>
      <x:c r="W22" s="43" t="str"/>
      <x:c r="X22" s="43" t="str"/>
      <x:c r="Y22" s="43" t="str"/>
      <x:c r="Z22" s="43" t="str">
        <x:v>Historical</x:v>
      </x:c>
    </x:row>
    <x:row r="23" ht="58" customHeight="1">
      <x:c r="A23" s="43" t="str">
        <x:v>PRA-05-T01</x:v>
      </x:c>
      <x:c r="B23" s="43" t="str">
        <x:v>PRA-05</x:v>
      </x:c>
      <x:c r="C23" s="43" t="n">
        <x:v>5</x:v>
      </x:c>
      <x:c r="D23" s="43" t="str">
        <x:v>5</x:v>
      </x:c>
      <x:c r="E23" s="43" t="str">
        <x:v>Work Item</x:v>
      </x:c>
      <x:c r="F23" s="43" t="str">
        <x:v>Task</x:v>
      </x:c>
      <x:c r="G23" s="43" t="str">
        <x:v>Define typed result and rubric DTOs</x:v>
      </x:c>
      <x:c r="H23" s="43" t="str">
        <x:v>AI Contract</x:v>
      </x:c>
      <x:c r="I23" s="43" t="str">
        <x:v>Done</x:v>
      </x:c>
      <x:c r="J23" s="43" t="str">
        <x:v>CLOSED_VERIFIED</x:v>
      </x:c>
      <x:c r="K23" s="43" t="str">
        <x:v>Medium</x:v>
      </x:c>
      <x:c r="L23" s="43" t="str">
        <x:v>Informational</x:v>
      </x:c>
      <x:c r="M23" s="43" t="str">
        <x:v>Documented</x:v>
      </x:c>
      <x:c r="N23" s="43" t="str">
        <x:v>Optional-History</x:v>
      </x:c>
      <x:c r="O23" s="43" t="str"/>
      <x:c r="P23" s="43" t="str"/>
      <x:c r="Q23" s="43" t="str">
        <x:v>Schema có version, nullable và scale rõ ràng.</x:v>
      </x:c>
      <x:c r="R23" s="43" t="str"/>
      <x:c r="S23" s="43" t="str"/>
      <x:c r="T23" s="43" t="str">
        <x:v>CODEX_PRACTICE_WORKFLOW.md §Phase 5</x:v>
      </x:c>
      <x:c r="U23" s="43" t="str">
        <x:v>practice</x:v>
      </x:c>
      <x:c r="V23" s="43" t="str">
        <x:v>Practice Result</x:v>
      </x:c>
      <x:c r="W23" s="43" t="str"/>
      <x:c r="X23" s="43" t="str"/>
      <x:c r="Y23" s="43" t="str"/>
      <x:c r="Z23" s="43" t="str">
        <x:v>Historical</x:v>
      </x:c>
    </x:row>
    <x:row r="24" ht="58" customHeight="1">
      <x:c r="A24" s="43" t="str">
        <x:v>PRA-05-T02</x:v>
      </x:c>
      <x:c r="B24" s="43" t="str">
        <x:v>PRA-05</x:v>
      </x:c>
      <x:c r="C24" s="43" t="n">
        <x:v>5</x:v>
      </x:c>
      <x:c r="D24" s="43" t="str">
        <x:v>5</x:v>
      </x:c>
      <x:c r="E24" s="43" t="str">
        <x:v>Work Item</x:v>
      </x:c>
      <x:c r="F24" s="43" t="str">
        <x:v>Task</x:v>
      </x:c>
      <x:c r="G24" s="43" t="str">
        <x:v>Implement compatibility readers</x:v>
      </x:c>
      <x:c r="H24" s="43" t="str">
        <x:v>AI Contract</x:v>
      </x:c>
      <x:c r="I24" s="43" t="str">
        <x:v>Done</x:v>
      </x:c>
      <x:c r="J24" s="43" t="str">
        <x:v>CLOSED_VERIFIED</x:v>
      </x:c>
      <x:c r="K24" s="43" t="str">
        <x:v>Medium</x:v>
      </x:c>
      <x:c r="L24" s="43" t="str">
        <x:v>Informational</x:v>
      </x:c>
      <x:c r="M24" s="43" t="str">
        <x:v>Documented</x:v>
      </x:c>
      <x:c r="N24" s="43" t="str">
        <x:v>Optional-History</x:v>
      </x:c>
      <x:c r="O24" s="43" t="str"/>
      <x:c r="P24" s="43" t="str"/>
      <x:c r="Q24" s="43" t="str">
        <x:v>Legacy payload được map hoặc fail closed.</x:v>
      </x:c>
      <x:c r="R24" s="43" t="str"/>
      <x:c r="S24" s="43" t="str"/>
      <x:c r="T24" s="43" t="str">
        <x:v>CODEX_PRACTICE_WORKFLOW.md §Phase 5</x:v>
      </x:c>
      <x:c r="U24" s="43" t="str">
        <x:v>practice</x:v>
      </x:c>
      <x:c r="V24" s="43" t="str">
        <x:v>Practice Result</x:v>
      </x:c>
      <x:c r="W24" s="43" t="str"/>
      <x:c r="X24" s="43" t="str"/>
      <x:c r="Y24" s="43" t="str"/>
      <x:c r="Z24" s="43" t="str">
        <x:v>Historical</x:v>
      </x:c>
    </x:row>
    <x:row r="25" ht="58" customHeight="1">
      <x:c r="A25" s="43" t="str">
        <x:v>PRA-05-T03</x:v>
      </x:c>
      <x:c r="B25" s="43" t="str">
        <x:v>PRA-05</x:v>
      </x:c>
      <x:c r="C25" s="43" t="n">
        <x:v>5</x:v>
      </x:c>
      <x:c r="D25" s="43" t="str">
        <x:v>5</x:v>
      </x:c>
      <x:c r="E25" s="43" t="str">
        <x:v>Work Item</x:v>
      </x:c>
      <x:c r="F25" s="43" t="str">
        <x:v>Task</x:v>
      </x:c>
      <x:c r="G25" s="43" t="str">
        <x:v>Wire typed result through service and UI</x:v>
      </x:c>
      <x:c r="H25" s="43" t="str">
        <x:v>AI Contract</x:v>
      </x:c>
      <x:c r="I25" s="43" t="str">
        <x:v>Done</x:v>
      </x:c>
      <x:c r="J25" s="43" t="str">
        <x:v>CLOSED_VERIFIED</x:v>
      </x:c>
      <x:c r="K25" s="43" t="str">
        <x:v>Medium</x:v>
      </x:c>
      <x:c r="L25" s="43" t="str">
        <x:v>Informational</x:v>
      </x:c>
      <x:c r="M25" s="43" t="str">
        <x:v>Documented</x:v>
      </x:c>
      <x:c r="N25" s="43" t="str">
        <x:v>Optional-History</x:v>
      </x:c>
      <x:c r="O25" s="43" t="str"/>
      <x:c r="P25" s="43" t="str"/>
      <x:c r="Q25" s="43" t="str">
        <x:v>Không còn prose parsing trong UI.</x:v>
      </x:c>
      <x:c r="R25" s="43" t="str"/>
      <x:c r="S25" s="43" t="str"/>
      <x:c r="T25" s="43" t="str">
        <x:v>CODEX_PRACTICE_WORKFLOW.md §Phase 5</x:v>
      </x:c>
      <x:c r="U25" s="43" t="str">
        <x:v>practice</x:v>
      </x:c>
      <x:c r="V25" s="43" t="str">
        <x:v>Practice Result</x:v>
      </x:c>
      <x:c r="W25" s="43" t="str"/>
      <x:c r="X25" s="43" t="str"/>
      <x:c r="Y25" s="43" t="str"/>
      <x:c r="Z25" s="43" t="str">
        <x:v>Historical</x:v>
      </x:c>
    </x:row>
    <x:row r="26" ht="58" customHeight="1">
      <x:c r="A26" s="43" t="str">
        <x:v>PRA-06</x:v>
      </x:c>
      <x:c r="B26" s="43" t="str">
        <x:v>PRA-PROGRAM</x:v>
      </x:c>
      <x:c r="C26" s="43" t="n">
        <x:v>6</x:v>
      </x:c>
      <x:c r="D26" s="43" t="str">
        <x:v>6</x:v>
      </x:c>
      <x:c r="E26" s="43" t="str">
        <x:v>Epic</x:v>
      </x:c>
      <x:c r="F26" s="43" t="str">
        <x:v>Epic</x:v>
      </x:c>
      <x:c r="G26" s="43" t="str">
        <x:v>Explicit Writing Task Metadata</x:v>
      </x:c>
      <x:c r="H26" s="43" t="str">
        <x:v>Writing AI</x:v>
      </x:c>
      <x:c r="I26" s="43" t="str">
        <x:v>Done</x:v>
      </x:c>
      <x:c r="J26" s="43" t="str">
        <x:v>CLOSED_VERIFIED</x:v>
      </x:c>
      <x:c r="K26" s="43" t="str">
        <x:v>Medium</x:v>
      </x:c>
      <x:c r="L26" s="43" t="str">
        <x:v>Informational</x:v>
      </x:c>
      <x:c r="M26" s="43" t="str">
        <x:v>Documented</x:v>
      </x:c>
      <x:c r="N26" s="43" t="str">
        <x:v>Optional-History</x:v>
      </x:c>
      <x:c r="O26" s="43" t="str"/>
      <x:c r="P26" s="43" t="str">
        <x:v>Khóa identity Q51/Q52/Q53/Q54/GENERAL.</x:v>
      </x:c>
      <x:c r="Q26" s="43" t="str">
        <x:v>Task metadata tồn tại xuyên authoring/import/publish/snapshot/evaluation.</x:v>
      </x:c>
      <x:c r="R26" s="43" t="str"/>
      <x:c r="S26" s="43" t="str"/>
      <x:c r="T26" s="43" t="str">
        <x:v>CODEX_PRACTICE_WORKFLOW.md §Phase 6</x:v>
      </x:c>
      <x:c r="U26" s="43" t="str">
        <x:v>practice</x:v>
      </x:c>
      <x:c r="V26" s="43" t="str">
        <x:v>Practice Writing AI</x:v>
      </x:c>
      <x:c r="W26" s="43" t="str"/>
      <x:c r="X26" s="43" t="str"/>
      <x:c r="Y26" s="43" t="str"/>
      <x:c r="Z26" s="43" t="str">
        <x:v>Historical</x:v>
      </x:c>
    </x:row>
    <x:row r="27" ht="58" customHeight="1">
      <x:c r="A27" s="43" t="str">
        <x:v>PRA-06-T01</x:v>
      </x:c>
      <x:c r="B27" s="43" t="str">
        <x:v>PRA-06</x:v>
      </x:c>
      <x:c r="C27" s="43" t="n">
        <x:v>6</x:v>
      </x:c>
      <x:c r="D27" s="43" t="str">
        <x:v>6</x:v>
      </x:c>
      <x:c r="E27" s="43" t="str">
        <x:v>Work Item</x:v>
      </x:c>
      <x:c r="F27" s="43" t="str">
        <x:v>Task</x:v>
      </x:c>
      <x:c r="G27" s="43" t="str">
        <x:v>Define WritingTaskType identity</x:v>
      </x:c>
      <x:c r="H27" s="43" t="str">
        <x:v>Writing AI</x:v>
      </x:c>
      <x:c r="I27" s="43" t="str">
        <x:v>Done</x:v>
      </x:c>
      <x:c r="J27" s="43" t="str">
        <x:v>CLOSED_VERIFIED</x:v>
      </x:c>
      <x:c r="K27" s="43" t="str">
        <x:v>Medium</x:v>
      </x:c>
      <x:c r="L27" s="43" t="str">
        <x:v>Informational</x:v>
      </x:c>
      <x:c r="M27" s="43" t="str">
        <x:v>Documented</x:v>
      </x:c>
      <x:c r="N27" s="43" t="str">
        <x:v>Optional-History</x:v>
      </x:c>
      <x:c r="O27" s="43" t="str"/>
      <x:c r="P27" s="43" t="str"/>
      <x:c r="Q27" s="43" t="str">
        <x:v>Q51-Q54 và GENERAL không suy luận từ vị trí UI.</x:v>
      </x:c>
      <x:c r="R27" s="43" t="str"/>
      <x:c r="S27" s="43" t="str"/>
      <x:c r="T27" s="43" t="str">
        <x:v>CODEX_PRACTICE_WORKFLOW.md §Phase 6</x:v>
      </x:c>
      <x:c r="U27" s="43" t="str">
        <x:v>practice</x:v>
      </x:c>
      <x:c r="V27" s="43" t="str">
        <x:v>Practice Writing AI</x:v>
      </x:c>
      <x:c r="W27" s="43" t="str"/>
      <x:c r="X27" s="43" t="str"/>
      <x:c r="Y27" s="43" t="str"/>
      <x:c r="Z27" s="43" t="str">
        <x:v>Historical</x:v>
      </x:c>
    </x:row>
    <x:row r="28" ht="58" customHeight="1">
      <x:c r="A28" s="43" t="str">
        <x:v>PRA-06-T02</x:v>
      </x:c>
      <x:c r="B28" s="43" t="str">
        <x:v>PRA-06</x:v>
      </x:c>
      <x:c r="C28" s="43" t="n">
        <x:v>6</x:v>
      </x:c>
      <x:c r="D28" s="43" t="str">
        <x:v>6</x:v>
      </x:c>
      <x:c r="E28" s="43" t="str">
        <x:v>Work Item</x:v>
      </x:c>
      <x:c r="F28" s="43" t="str">
        <x:v>Task</x:v>
      </x:c>
      <x:c r="G28" s="43" t="str">
        <x:v>Persist task-native metadata and policy</x:v>
      </x:c>
      <x:c r="H28" s="43" t="str">
        <x:v>Writing AI</x:v>
      </x:c>
      <x:c r="I28" s="43" t="str">
        <x:v>Done</x:v>
      </x:c>
      <x:c r="J28" s="43" t="str">
        <x:v>CLOSED_VERIFIED</x:v>
      </x:c>
      <x:c r="K28" s="43" t="str">
        <x:v>Medium</x:v>
      </x:c>
      <x:c r="L28" s="43" t="str">
        <x:v>Informational</x:v>
      </x:c>
      <x:c r="M28" s="43" t="str">
        <x:v>Documented</x:v>
      </x:c>
      <x:c r="N28" s="43" t="str">
        <x:v>Optional-History</x:v>
      </x:c>
      <x:c r="O28" s="43" t="str"/>
      <x:c r="P28" s="43" t="str"/>
      <x:c r="Q28" s="43" t="str">
        <x:v>Immutable version giữ task type và score maximum.</x:v>
      </x:c>
      <x:c r="R28" s="43" t="str"/>
      <x:c r="S28" s="43" t="str"/>
      <x:c r="T28" s="43" t="str">
        <x:v>CODEX_PRACTICE_WORKFLOW.md §Phase 6</x:v>
      </x:c>
      <x:c r="U28" s="43" t="str">
        <x:v>practice</x:v>
      </x:c>
      <x:c r="V28" s="43" t="str">
        <x:v>Practice Writing AI</x:v>
      </x:c>
      <x:c r="W28" s="43" t="str"/>
      <x:c r="X28" s="43" t="str"/>
      <x:c r="Y28" s="43" t="str"/>
      <x:c r="Z28" s="43" t="str">
        <x:v>Historical</x:v>
      </x:c>
    </x:row>
    <x:row r="29" ht="58" customHeight="1">
      <x:c r="A29" s="43" t="str">
        <x:v>PRA-06-T03</x:v>
      </x:c>
      <x:c r="B29" s="43" t="str">
        <x:v>PRA-06</x:v>
      </x:c>
      <x:c r="C29" s="43" t="n">
        <x:v>6</x:v>
      </x:c>
      <x:c r="D29" s="43" t="str">
        <x:v>6</x:v>
      </x:c>
      <x:c r="E29" s="43" t="str">
        <x:v>Work Item</x:v>
      </x:c>
      <x:c r="F29" s="43" t="str">
        <x:v>Task</x:v>
      </x:c>
      <x:c r="G29" s="43" t="str">
        <x:v>Validate import, publish and scoring usage</x:v>
      </x:c>
      <x:c r="H29" s="43" t="str">
        <x:v>Writing AI</x:v>
      </x:c>
      <x:c r="I29" s="43" t="str">
        <x:v>Done</x:v>
      </x:c>
      <x:c r="J29" s="43" t="str">
        <x:v>CLOSED_VERIFIED</x:v>
      </x:c>
      <x:c r="K29" s="43" t="str">
        <x:v>Medium</x:v>
      </x:c>
      <x:c r="L29" s="43" t="str">
        <x:v>Informational</x:v>
      </x:c>
      <x:c r="M29" s="43" t="str">
        <x:v>Documented</x:v>
      </x:c>
      <x:c r="N29" s="43" t="str">
        <x:v>Optional-History</x:v>
      </x:c>
      <x:c r="O29" s="43" t="str"/>
      <x:c r="P29" s="43" t="str"/>
      <x:c r="Q29" s="43" t="str">
        <x:v>Invalid task/points bị reject trước publish.</x:v>
      </x:c>
      <x:c r="R29" s="43" t="str"/>
      <x:c r="S29" s="43" t="str"/>
      <x:c r="T29" s="43" t="str">
        <x:v>CODEX_PRACTICE_WORKFLOW.md §Phase 6</x:v>
      </x:c>
      <x:c r="U29" s="43" t="str">
        <x:v>practice</x:v>
      </x:c>
      <x:c r="V29" s="43" t="str">
        <x:v>Practice Writing AI</x:v>
      </x:c>
      <x:c r="W29" s="43" t="str"/>
      <x:c r="X29" s="43" t="str"/>
      <x:c r="Y29" s="43" t="str"/>
      <x:c r="Z29" s="43" t="str">
        <x:v>Historical</x:v>
      </x:c>
    </x:row>
    <x:row r="30" ht="58" customHeight="1">
      <x:c r="A30" s="43" t="str">
        <x:v>PRA-07</x:v>
      </x:c>
      <x:c r="B30" s="43" t="str">
        <x:v>PRA-PROGRAM</x:v>
      </x:c>
      <x:c r="C30" s="43" t="n">
        <x:v>7</x:v>
      </x:c>
      <x:c r="D30" s="43" t="str">
        <x:v>7</x:v>
      </x:c>
      <x:c r="E30" s="43" t="str">
        <x:v>Epic</x:v>
      </x:c>
      <x:c r="F30" s="43" t="str">
        <x:v>Epic</x:v>
      </x:c>
      <x:c r="G30" s="43" t="str">
        <x:v>Cache Retention Operations</x:v>
      </x:c>
      <x:c r="H30" s="43" t="str">
        <x:v>AI Operations</x:v>
      </x:c>
      <x:c r="I30" s="43" t="str">
        <x:v>Done with Debt</x:v>
      </x:c>
      <x:c r="J30" s="43" t="str">
        <x:v>CLOSED_VERIFIED_WITH_OPERATIONAL_DEBT</x:v>
      </x:c>
      <x:c r="K30" s="43" t="str">
        <x:v>Medium</x:v>
      </x:c>
      <x:c r="L30" s="43" t="str">
        <x:v>Informational</x:v>
      </x:c>
      <x:c r="M30" s="43" t="str">
        <x:v>Documented</x:v>
      </x:c>
      <x:c r="N30" s="43" t="str">
        <x:v>Optional-History</x:v>
      </x:c>
      <x:c r="O30" s="43" t="str"/>
      <x:c r="P30" s="43" t="str">
        <x:v>Writing logical TTL và R/L version-based retention.</x:v>
      </x:c>
      <x:c r="Q30" s="43" t="str">
        <x:v>Retention có boundary; cleanup không làm mất historical evidence.</x:v>
      </x:c>
      <x:c r="R30" s="43" t="str"/>
      <x:c r="S30" s="43" t="str"/>
      <x:c r="T30" s="43" t="str">
        <x:v>CODEX_PRACTICE_WORKFLOW.md §Phase 7</x:v>
      </x:c>
      <x:c r="U30" s="43" t="str">
        <x:v>practice</x:v>
      </x:c>
      <x:c r="V30" s="43" t="str">
        <x:v>Practice Worker/Operations</x:v>
      </x:c>
      <x:c r="W30" s="43" t="str"/>
      <x:c r="X30" s="43" t="str"/>
      <x:c r="Y30" s="43" t="str"/>
      <x:c r="Z30" s="43" t="str">
        <x:v>Historical / Phase 15 debt</x:v>
      </x:c>
    </x:row>
    <x:row r="31" ht="58" customHeight="1">
      <x:c r="A31" s="43" t="str">
        <x:v>PRA-07-T01</x:v>
      </x:c>
      <x:c r="B31" s="43" t="str">
        <x:v>PRA-07</x:v>
      </x:c>
      <x:c r="C31" s="43" t="n">
        <x:v>7</x:v>
      </x:c>
      <x:c r="D31" s="43" t="str">
        <x:v>7</x:v>
      </x:c>
      <x:c r="E31" s="43" t="str">
        <x:v>Work Item</x:v>
      </x:c>
      <x:c r="F31" s="43" t="str">
        <x:v>Task</x:v>
      </x:c>
      <x:c r="G31" s="43" t="str">
        <x:v>Writing cache logical TTL</x:v>
      </x:c>
      <x:c r="H31" s="43" t="str">
        <x:v>AI Operations</x:v>
      </x:c>
      <x:c r="I31" s="43" t="str">
        <x:v>Done with Debt</x:v>
      </x:c>
      <x:c r="J31" s="43" t="str">
        <x:v>CLOSED_VERIFIED_WITH_OPERATIONAL_DEBT</x:v>
      </x:c>
      <x:c r="K31" s="43" t="str">
        <x:v>Medium</x:v>
      </x:c>
      <x:c r="L31" s="43" t="str">
        <x:v>Informational</x:v>
      </x:c>
      <x:c r="M31" s="43" t="str">
        <x:v>Documented</x:v>
      </x:c>
      <x:c r="N31" s="43" t="str">
        <x:v>Optional-History</x:v>
      </x:c>
      <x:c r="O31" s="43" t="str"/>
      <x:c r="P31" s="43" t="str"/>
      <x:c r="Q31" s="43" t="str">
        <x:v>Expired rows không được dùng cho evaluation mới.</x:v>
      </x:c>
      <x:c r="R31" s="43" t="str"/>
      <x:c r="S31" s="43" t="str"/>
      <x:c r="T31" s="43" t="str">
        <x:v>CODEX_PRACTICE_WORKFLOW.md §Phase 7</x:v>
      </x:c>
      <x:c r="U31" s="43" t="str">
        <x:v>practice</x:v>
      </x:c>
      <x:c r="V31" s="43" t="str">
        <x:v>Practice Worker/Operations</x:v>
      </x:c>
      <x:c r="W31" s="43" t="str"/>
      <x:c r="X31" s="43" t="str"/>
      <x:c r="Y31" s="43" t="str"/>
      <x:c r="Z31" s="43" t="str">
        <x:v>Historical / Phase 15 debt</x:v>
      </x:c>
    </x:row>
    <x:row r="32" ht="58" customHeight="1">
      <x:c r="A32" s="43" t="str">
        <x:v>PRA-07-T02</x:v>
      </x:c>
      <x:c r="B32" s="43" t="str">
        <x:v>PRA-07</x:v>
      </x:c>
      <x:c r="C32" s="43" t="n">
        <x:v>7</x:v>
      </x:c>
      <x:c r="D32" s="43" t="str">
        <x:v>7</x:v>
      </x:c>
      <x:c r="E32" s="43" t="str">
        <x:v>Work Item</x:v>
      </x:c>
      <x:c r="F32" s="43" t="str">
        <x:v>Task</x:v>
      </x:c>
      <x:c r="G32" s="43" t="str">
        <x:v>R/L version-based retention</x:v>
      </x:c>
      <x:c r="H32" s="43" t="str">
        <x:v>AI Operations</x:v>
      </x:c>
      <x:c r="I32" s="43" t="str">
        <x:v>Done with Debt</x:v>
      </x:c>
      <x:c r="J32" s="43" t="str">
        <x:v>CLOSED_VERIFIED_WITH_OPERATIONAL_DEBT</x:v>
      </x:c>
      <x:c r="K32" s="43" t="str">
        <x:v>Medium</x:v>
      </x:c>
      <x:c r="L32" s="43" t="str">
        <x:v>Informational</x:v>
      </x:c>
      <x:c r="M32" s="43" t="str">
        <x:v>Documented</x:v>
      </x:c>
      <x:c r="N32" s="43" t="str">
        <x:v>Optional-History</x:v>
      </x:c>
      <x:c r="O32" s="43" t="str"/>
      <x:c r="P32" s="43" t="str"/>
      <x:c r="Q32" s="43" t="str">
        <x:v>Historical attempt không mất explanation evidence.</x:v>
      </x:c>
      <x:c r="R32" s="43" t="str"/>
      <x:c r="S32" s="43" t="str"/>
      <x:c r="T32" s="43" t="str">
        <x:v>CODEX_PRACTICE_WORKFLOW.md §Phase 7</x:v>
      </x:c>
      <x:c r="U32" s="43" t="str">
        <x:v>practice</x:v>
      </x:c>
      <x:c r="V32" s="43" t="str">
        <x:v>Practice Worker/Operations</x:v>
      </x:c>
      <x:c r="W32" s="43" t="str"/>
      <x:c r="X32" s="43" t="str"/>
      <x:c r="Y32" s="43" t="str"/>
      <x:c r="Z32" s="43" t="str">
        <x:v>Historical / Phase 15 debt</x:v>
      </x:c>
    </x:row>
    <x:row r="33" ht="58" customHeight="1">
      <x:c r="A33" s="43" t="str">
        <x:v>PRA-07-T03</x:v>
      </x:c>
      <x:c r="B33" s="43" t="str">
        <x:v>PRA-07</x:v>
      </x:c>
      <x:c r="C33" s="43" t="n">
        <x:v>7</x:v>
      </x:c>
      <x:c r="D33" s="43" t="str">
        <x:v>7</x:v>
      </x:c>
      <x:c r="E33" s="43" t="str">
        <x:v>Work Item</x:v>
      </x:c>
      <x:c r="F33" s="43" t="str">
        <x:v>Task</x:v>
      </x:c>
      <x:c r="G33" s="43" t="str">
        <x:v>Route bounded cleanup and fail-closed hash debt</x:v>
      </x:c>
      <x:c r="H33" s="43" t="str">
        <x:v>AI Operations</x:v>
      </x:c>
      <x:c r="I33" s="43" t="str">
        <x:v>Backlog</x:v>
      </x:c>
      <x:c r="J33" s="43" t="str">
        <x:v>ROUTED_TO_PHASE_15</x:v>
      </x:c>
      <x:c r="K33" s="43" t="str">
        <x:v>High</x:v>
      </x:c>
      <x:c r="L33" s="43" t="str">
        <x:v>Medium</x:v>
      </x:c>
      <x:c r="M33" s="43" t="str">
        <x:v>Documented</x:v>
      </x:c>
      <x:c r="N33" s="43" t="str">
        <x:v>Yes</x:v>
      </x:c>
      <x:c r="O33" s="43" t="str">
        <x:v>PRA-15F</x:v>
      </x:c>
      <x:c r="P33" s="43" t="str"/>
      <x:c r="Q33" s="43" t="str">
        <x:v>Cleanup bounded; SHA-256 failure bypasses cache hoặc fails closed.</x:v>
      </x:c>
      <x:c r="R33" s="43" t="str"/>
      <x:c r="S33" s="43" t="str"/>
      <x:c r="T33" s="43" t="str">
        <x:v>CODEX_PRACTICE_WORKFLOW.md §Phase 7</x:v>
      </x:c>
      <x:c r="U33" s="43" t="str">
        <x:v>practice</x:v>
      </x:c>
      <x:c r="V33" s="43" t="str">
        <x:v>Practice Worker/Operations</x:v>
      </x:c>
      <x:c r="W33" s="43" t="str"/>
      <x:c r="X33" s="43" t="str"/>
      <x:c r="Y33" s="43" t="str"/>
      <x:c r="Z33" s="43" t="str">
        <x:v>Historical / Phase 15 debt</x:v>
      </x:c>
    </x:row>
    <x:row r="34" ht="58" customHeight="1">
      <x:c r="A34" s="43" t="str">
        <x:v>PRA-08B</x:v>
      </x:c>
      <x:c r="B34" s="43" t="str">
        <x:v>PRA-PROGRAM</x:v>
      </x:c>
      <x:c r="C34" s="43" t="n">
        <x:v>8</x:v>
      </x:c>
      <x:c r="D34" s="43" t="str">
        <x:v>8B</x:v>
      </x:c>
      <x:c r="E34" s="43" t="str">
        <x:v>Epic</x:v>
      </x:c>
      <x:c r="F34" s="43" t="str">
        <x:v>Epic</x:v>
      </x:c>
      <x:c r="G34" s="43" t="str">
        <x:v>Text Speaking</x:v>
      </x:c>
      <x:c r="H34" s="43" t="str">
        <x:v>Speaking AI</x:v>
      </x:c>
      <x:c r="I34" s="43" t="str">
        <x:v>Done</x:v>
      </x:c>
      <x:c r="J34" s="43" t="str">
        <x:v>CLOSED_VERIFIED</x:v>
      </x:c>
      <x:c r="K34" s="43" t="str">
        <x:v>Medium</x:v>
      </x:c>
      <x:c r="L34" s="43" t="str">
        <x:v>Informational</x:v>
      </x:c>
      <x:c r="M34" s="43" t="str">
        <x:v>Documented</x:v>
      </x:c>
      <x:c r="N34" s="43" t="str">
        <x:v>Optional-History</x:v>
      </x:c>
      <x:c r="O34" s="43" t="str"/>
      <x:c r="P34" s="43" t="str">
        <x:v>Text-based Speaking foundation.</x:v>
      </x:c>
      <x:c r="Q34" s="43" t="str">
        <x:v>Typed result và safe internal workflow.</x:v>
      </x:c>
      <x:c r="R34" s="43" t="str"/>
      <x:c r="S34" s="43" t="str"/>
      <x:c r="T34" s="43" t="str">
        <x:v>CODEX_PRACTICE_WORKFLOW.md §Phase 8B</x:v>
      </x:c>
      <x:c r="U34" s="43" t="str">
        <x:v>practice</x:v>
      </x:c>
      <x:c r="V34" s="43" t="str">
        <x:v>Practice Speaking AI</x:v>
      </x:c>
      <x:c r="W34" s="43" t="str"/>
      <x:c r="X34" s="43" t="str"/>
      <x:c r="Y34" s="43" t="str"/>
      <x:c r="Z34" s="43" t="str">
        <x:v>Historical</x:v>
      </x:c>
    </x:row>
    <x:row r="35" ht="58" customHeight="1">
      <x:c r="A35" s="43" t="str">
        <x:v>PRA-08B-T01</x:v>
      </x:c>
      <x:c r="B35" s="43" t="str">
        <x:v>PRA-08B</x:v>
      </x:c>
      <x:c r="C35" s="43" t="n">
        <x:v>8</x:v>
      </x:c>
      <x:c r="D35" s="43" t="str">
        <x:v>8B</x:v>
      </x:c>
      <x:c r="E35" s="43" t="str">
        <x:v>Work Item</x:v>
      </x:c>
      <x:c r="F35" s="43" t="str">
        <x:v>Task</x:v>
      </x:c>
      <x:c r="G35" s="43" t="str">
        <x:v>Text Speaking evaluation contract</x:v>
      </x:c>
      <x:c r="H35" s="43" t="str">
        <x:v>Speaking AI</x:v>
      </x:c>
      <x:c r="I35" s="43" t="str">
        <x:v>Done</x:v>
      </x:c>
      <x:c r="J35" s="43" t="str">
        <x:v>CLOSED_VERIFIED</x:v>
      </x:c>
      <x:c r="K35" s="43" t="str">
        <x:v>Medium</x:v>
      </x:c>
      <x:c r="L35" s="43" t="str">
        <x:v>Informational</x:v>
      </x:c>
      <x:c r="M35" s="43" t="str">
        <x:v>Documented</x:v>
      </x:c>
      <x:c r="N35" s="43" t="str">
        <x:v>Optional-History</x:v>
      </x:c>
      <x:c r="O35" s="43" t="str"/>
      <x:c r="P35" s="43" t="str"/>
      <x:c r="Q35" s="43" t="str">
        <x:v>Input, rubric và output schema rõ ràng.</x:v>
      </x:c>
      <x:c r="R35" s="43" t="str"/>
      <x:c r="S35" s="43" t="str"/>
      <x:c r="T35" s="43" t="str">
        <x:v>CODEX_PRACTICE_WORKFLOW.md §Phase 8B</x:v>
      </x:c>
      <x:c r="U35" s="43" t="str">
        <x:v>practice</x:v>
      </x:c>
      <x:c r="V35" s="43" t="str">
        <x:v>Practice Speaking AI</x:v>
      </x:c>
      <x:c r="W35" s="43" t="str"/>
      <x:c r="X35" s="43" t="str"/>
      <x:c r="Y35" s="43" t="str"/>
      <x:c r="Z35" s="43" t="str">
        <x:v>Historical</x:v>
      </x:c>
    </x:row>
    <x:row r="36" ht="58" customHeight="1">
      <x:c r="A36" s="43" t="str">
        <x:v>PRA-08B-T02</x:v>
      </x:c>
      <x:c r="B36" s="43" t="str">
        <x:v>PRA-08B</x:v>
      </x:c>
      <x:c r="C36" s="43" t="n">
        <x:v>8</x:v>
      </x:c>
      <x:c r="D36" s="43" t="str">
        <x:v>8B</x:v>
      </x:c>
      <x:c r="E36" s="43" t="str">
        <x:v>Work Item</x:v>
      </x:c>
      <x:c r="F36" s="43" t="str">
        <x:v>Task</x:v>
      </x:c>
      <x:c r="G36" s="43" t="str">
        <x:v>Text Speaking result integration</x:v>
      </x:c>
      <x:c r="H36" s="43" t="str">
        <x:v>Speaking AI</x:v>
      </x:c>
      <x:c r="I36" s="43" t="str">
        <x:v>Done</x:v>
      </x:c>
      <x:c r="J36" s="43" t="str">
        <x:v>CLOSED_VERIFIED</x:v>
      </x:c>
      <x:c r="K36" s="43" t="str">
        <x:v>Medium</x:v>
      </x:c>
      <x:c r="L36" s="43" t="str">
        <x:v>Informational</x:v>
      </x:c>
      <x:c r="M36" s="43" t="str">
        <x:v>Documented</x:v>
      </x:c>
      <x:c r="N36" s="43" t="str">
        <x:v>Optional-History</x:v>
      </x:c>
      <x:c r="O36" s="43" t="str"/>
      <x:c r="P36" s="43" t="str"/>
      <x:c r="Q36" s="43" t="str">
        <x:v>Không claim acoustic evidence.</x:v>
      </x:c>
      <x:c r="R36" s="43" t="str"/>
      <x:c r="S36" s="43" t="str"/>
      <x:c r="T36" s="43" t="str">
        <x:v>CODEX_PRACTICE_WORKFLOW.md §Phase 8B</x:v>
      </x:c>
      <x:c r="U36" s="43" t="str">
        <x:v>practice</x:v>
      </x:c>
      <x:c r="V36" s="43" t="str">
        <x:v>Practice Speaking AI</x:v>
      </x:c>
      <x:c r="W36" s="43" t="str"/>
      <x:c r="X36" s="43" t="str"/>
      <x:c r="Y36" s="43" t="str"/>
      <x:c r="Z36" s="43" t="str">
        <x:v>Historical</x:v>
      </x:c>
    </x:row>
    <x:row r="37" ht="58" customHeight="1">
      <x:c r="A37" s="43" t="str">
        <x:v>PRA-08C</x:v>
      </x:c>
      <x:c r="B37" s="43" t="str">
        <x:v>PRA-PROGRAM</x:v>
      </x:c>
      <x:c r="C37" s="43" t="n">
        <x:v>8</x:v>
      </x:c>
      <x:c r="D37" s="43" t="str">
        <x:v>8C</x:v>
      </x:c>
      <x:c r="E37" s="43" t="str">
        <x:v>Epic</x:v>
      </x:c>
      <x:c r="F37" s="43" t="str">
        <x:v>Epic</x:v>
      </x:c>
      <x:c r="G37" s="43" t="str">
        <x:v>Writing Rubric, Criteria &amp; Calibration</x:v>
      </x:c>
      <x:c r="H37" s="43" t="str">
        <x:v>Writing AI</x:v>
      </x:c>
      <x:c r="I37" s="43" t="str">
        <x:v>Done with Debt</x:v>
      </x:c>
      <x:c r="J37" s="43" t="str">
        <x:v>8C_CLOSED_WITH_ACCEPTED_DEBT</x:v>
      </x:c>
      <x:c r="K37" s="43" t="str">
        <x:v>Medium</x:v>
      </x:c>
      <x:c r="L37" s="43" t="str">
        <x:v>Informational</x:v>
      </x:c>
      <x:c r="M37" s="43" t="str">
        <x:v>Documented</x:v>
      </x:c>
      <x:c r="N37" s="43" t="str">
        <x:v>Optional-History</x:v>
      </x:c>
      <x:c r="O37" s="43" t="str"/>
      <x:c r="P37" s="43" t="str">
        <x:v>Writing rubric/criteria, scoring matrix và calibration boundary.</x:v>
      </x:c>
      <x:c r="Q37" s="43" t="str">
        <x:v>Internal KSH scoring; no official TOPIK-equivalence claim.</x:v>
      </x:c>
      <x:c r="R37" s="43" t="str"/>
      <x:c r="S37" s="43" t="str"/>
      <x:c r="T37" s="43" t="str">
        <x:v>CODEX_PRACTICE_WORKFLOW.md §Phase 8C</x:v>
      </x:c>
      <x:c r="U37" s="43" t="str">
        <x:v>practice</x:v>
      </x:c>
      <x:c r="V37" s="43" t="str">
        <x:v>Practice Writing AI</x:v>
      </x:c>
      <x:c r="W37" s="43" t="str"/>
      <x:c r="X37" s="43" t="str"/>
      <x:c r="Y37" s="43" t="str"/>
      <x:c r="Z37" s="43" t="str">
        <x:v>Historical / Phase 15D debt</x:v>
      </x:c>
    </x:row>
    <x:row r="38" ht="58" customHeight="1">
      <x:c r="A38" s="43" t="str">
        <x:v>PRA-08C-T01</x:v>
      </x:c>
      <x:c r="B38" s="43" t="str">
        <x:v>PRA-08C</x:v>
      </x:c>
      <x:c r="C38" s="43" t="n">
        <x:v>8</x:v>
      </x:c>
      <x:c r="D38" s="43" t="str">
        <x:v>8C</x:v>
      </x:c>
      <x:c r="E38" s="43" t="str">
        <x:v>Work Item</x:v>
      </x:c>
      <x:c r="F38" s="43" t="str">
        <x:v>Task</x:v>
      </x:c>
      <x:c r="G38" s="43" t="str">
        <x:v>Writing rubric and criteria contract</x:v>
      </x:c>
      <x:c r="H38" s="43" t="str">
        <x:v>Writing AI</x:v>
      </x:c>
      <x:c r="I38" s="43" t="str">
        <x:v>Done with Debt</x:v>
      </x:c>
      <x:c r="J38" s="43" t="str">
        <x:v>8C_CLOSED_WITH_ACCEPTED_DEBT</x:v>
      </x:c>
      <x:c r="K38" s="43" t="str">
        <x:v>Medium</x:v>
      </x:c>
      <x:c r="L38" s="43" t="str">
        <x:v>Informational</x:v>
      </x:c>
      <x:c r="M38" s="43" t="str">
        <x:v>Documented</x:v>
      </x:c>
      <x:c r="N38" s="43" t="str">
        <x:v>Optional-History</x:v>
      </x:c>
      <x:c r="O38" s="43" t="str"/>
      <x:c r="P38" s="43" t="str"/>
      <x:c r="Q38" s="43" t="str">
        <x:v>Criteria/weights/version được typed.</x:v>
      </x:c>
      <x:c r="R38" s="43" t="str"/>
      <x:c r="S38" s="43" t="str"/>
      <x:c r="T38" s="43" t="str">
        <x:v>CODEX_PRACTICE_WORKFLOW.md §Phase 8C</x:v>
      </x:c>
      <x:c r="U38" s="43" t="str">
        <x:v>practice</x:v>
      </x:c>
      <x:c r="V38" s="43" t="str">
        <x:v>Practice Writing AI</x:v>
      </x:c>
      <x:c r="W38" s="43" t="str"/>
      <x:c r="X38" s="43" t="str"/>
      <x:c r="Y38" s="43" t="str"/>
      <x:c r="Z38" s="43" t="str">
        <x:v>Historical / Phase 15D debt</x:v>
      </x:c>
    </x:row>
    <x:row r="39" ht="58" customHeight="1">
      <x:c r="A39" s="43" t="str">
        <x:v>PRA-08C-T02</x:v>
      </x:c>
      <x:c r="B39" s="43" t="str">
        <x:v>PRA-08C</x:v>
      </x:c>
      <x:c r="C39" s="43" t="n">
        <x:v>8</x:v>
      </x:c>
      <x:c r="D39" s="43" t="str">
        <x:v>8C</x:v>
      </x:c>
      <x:c r="E39" s="43" t="str">
        <x:v>Work Item</x:v>
      </x:c>
      <x:c r="F39" s="43" t="str">
        <x:v>Task</x:v>
      </x:c>
      <x:c r="G39" s="43" t="str">
        <x:v>Writing task-native score matrix</x:v>
      </x:c>
      <x:c r="H39" s="43" t="str">
        <x:v>Writing AI</x:v>
      </x:c>
      <x:c r="I39" s="43" t="str">
        <x:v>Done with Debt</x:v>
      </x:c>
      <x:c r="J39" s="43" t="str">
        <x:v>8C_CLOSED_WITH_ACCEPTED_DEBT</x:v>
      </x:c>
      <x:c r="K39" s="43" t="str">
        <x:v>Medium</x:v>
      </x:c>
      <x:c r="L39" s="43" t="str">
        <x:v>Informational</x:v>
      </x:c>
      <x:c r="M39" s="43" t="str">
        <x:v>Documented</x:v>
      </x:c>
      <x:c r="N39" s="43" t="str">
        <x:v>Optional-History</x:v>
      </x:c>
      <x:c r="O39" s="43" t="str"/>
      <x:c r="P39" s="43" t="str"/>
      <x:c r="Q39" s="43" t="str">
        <x:v>Q51/Q52/Q53/Q54 dùng đúng maximum và rubric.</x:v>
      </x:c>
      <x:c r="R39" s="43" t="str"/>
      <x:c r="S39" s="43" t="str"/>
      <x:c r="T39" s="43" t="str">
        <x:v>CODEX_PRACTICE_WORKFLOW.md §Phase 8C</x:v>
      </x:c>
      <x:c r="U39" s="43" t="str">
        <x:v>practice</x:v>
      </x:c>
      <x:c r="V39" s="43" t="str">
        <x:v>Practice Writing AI</x:v>
      </x:c>
      <x:c r="W39" s="43" t="str"/>
      <x:c r="X39" s="43" t="str"/>
      <x:c r="Y39" s="43" t="str"/>
      <x:c r="Z39" s="43" t="str">
        <x:v>Historical / Phase 15D debt</x:v>
      </x:c>
    </x:row>
    <x:row r="40" ht="58" customHeight="1">
      <x:c r="A40" s="43" t="str">
        <x:v>PRA-08C-T03</x:v>
      </x:c>
      <x:c r="B40" s="43" t="str">
        <x:v>PRA-08C</x:v>
      </x:c>
      <x:c r="C40" s="43" t="n">
        <x:v>8</x:v>
      </x:c>
      <x:c r="D40" s="43" t="str">
        <x:v>8C</x:v>
      </x:c>
      <x:c r="E40" s="43" t="str">
        <x:v>Work Item</x:v>
      </x:c>
      <x:c r="F40" s="43" t="str">
        <x:v>Task</x:v>
      </x:c>
      <x:c r="G40" s="43" t="str">
        <x:v>Teacher-reviewed calibration debt</x:v>
      </x:c>
      <x:c r="H40" s="43" t="str">
        <x:v>Writing AI</x:v>
      </x:c>
      <x:c r="I40" s="43" t="str">
        <x:v>Backlog</x:v>
      </x:c>
      <x:c r="J40" s="43" t="str">
        <x:v>ROUTED_TO_15D</x:v>
      </x:c>
      <x:c r="K40" s="43" t="str">
        <x:v>High</x:v>
      </x:c>
      <x:c r="L40" s="43" t="str">
        <x:v>High</x:v>
      </x:c>
      <x:c r="M40" s="43" t="str">
        <x:v>Documented</x:v>
      </x:c>
      <x:c r="N40" s="43" t="str">
        <x:v>Yes</x:v>
      </x:c>
      <x:c r="O40" s="43" t="str">
        <x:v>PRA-15D</x:v>
      </x:c>
      <x:c r="P40" s="43" t="str"/>
      <x:c r="Q40" s="43" t="str">
        <x:v>Teacher-reviewed fixtures và repeated-provider consistency.</x:v>
      </x:c>
      <x:c r="R40" s="43" t="str"/>
      <x:c r="S40" s="43" t="str"/>
      <x:c r="T40" s="43" t="str">
        <x:v>CODEX_PRACTICE_WORKFLOW.md §Phase 8C</x:v>
      </x:c>
      <x:c r="U40" s="43" t="str">
        <x:v>practice</x:v>
      </x:c>
      <x:c r="V40" s="43" t="str">
        <x:v>Practice Writing AI</x:v>
      </x:c>
      <x:c r="W40" s="43" t="str"/>
      <x:c r="X40" s="43" t="str"/>
      <x:c r="Y40" s="43" t="str"/>
      <x:c r="Z40" s="43" t="str">
        <x:v>Historical / Phase 15D debt</x:v>
      </x:c>
    </x:row>
    <x:row r="41" ht="58" customHeight="1">
      <x:c r="A41" s="43" t="str">
        <x:v>PRA-08D</x:v>
      </x:c>
      <x:c r="B41" s="43" t="str">
        <x:v>PRA-PROGRAM</x:v>
      </x:c>
      <x:c r="C41" s="43" t="n">
        <x:v>8</x:v>
      </x:c>
      <x:c r="D41" s="43" t="str">
        <x:v>8D</x:v>
      </x:c>
      <x:c r="E41" s="43" t="str">
        <x:v>Epic</x:v>
      </x:c>
      <x:c r="F41" s="43" t="str">
        <x:v>Epic</x:v>
      </x:c>
      <x:c r="G41" s="43" t="str">
        <x:v>Speaking Audio &amp; Media</x:v>
      </x:c>
      <x:c r="H41" s="43" t="str">
        <x:v>Speaking Media</x:v>
      </x:c>
      <x:c r="I41" s="43" t="str">
        <x:v>Done with Debt</x:v>
      </x:c>
      <x:c r="J41" s="43" t="str">
        <x:v>CLOSED_WITH_ACCEPTED_DEBT</x:v>
      </x:c>
      <x:c r="K41" s="43" t="str">
        <x:v>Medium</x:v>
      </x:c>
      <x:c r="L41" s="43" t="str">
        <x:v>Informational</x:v>
      </x:c>
      <x:c r="M41" s="43" t="str">
        <x:v>Documented</x:v>
      </x:c>
      <x:c r="N41" s="43" t="str">
        <x:v>Optional-History</x:v>
      </x:c>
      <x:c r="O41" s="43" t="str"/>
      <x:c r="P41" s="43" t="str">
        <x:v>Audio upload, recording, private playback, cleanup và storage foundation.</x:v>
      </x:c>
      <x:c r="Q41" s="43" t="str">
        <x:v>Private media contract hoạt động; production object storage vẫn là release debt.</x:v>
      </x:c>
      <x:c r="R41" s="43" t="str"/>
      <x:c r="S41" s="43" t="str"/>
      <x:c r="T41" s="43" t="str">
        <x:v>CODEX_PRACTICE_WORKFLOW.md §Phase 8D</x:v>
      </x:c>
      <x:c r="U41" s="43" t="str">
        <x:v>practice</x:v>
      </x:c>
      <x:c r="V41" s="43" t="str">
        <x:v>Practice Media/Storage</x:v>
      </x:c>
      <x:c r="W41" s="43" t="str"/>
      <x:c r="X41" s="43" t="str"/>
      <x:c r="Y41" s="43" t="str"/>
      <x:c r="Z41" s="43" t="str">
        <x:v>Historical / Phase 15E debt</x:v>
      </x:c>
    </x:row>
    <x:row r="42" ht="58" customHeight="1">
      <x:c r="A42" s="43" t="str">
        <x:v>PRA-08D-A</x:v>
      </x:c>
      <x:c r="B42" s="43" t="str">
        <x:v>PRA-08D</x:v>
      </x:c>
      <x:c r="C42" s="43" t="n">
        <x:v>8</x:v>
      </x:c>
      <x:c r="D42" s="43" t="str">
        <x:v>8D</x:v>
      </x:c>
      <x:c r="E42" s="43" t="str">
        <x:v>Work Item</x:v>
      </x:c>
      <x:c r="F42" s="43" t="str">
        <x:v>Task</x:v>
      </x:c>
      <x:c r="G42" s="43" t="str">
        <x:v>Speaking audio/media baseline audit</x:v>
      </x:c>
      <x:c r="H42" s="43" t="str">
        <x:v>Speaking Media</x:v>
      </x:c>
      <x:c r="I42" s="43" t="str">
        <x:v>Done with Debt</x:v>
      </x:c>
      <x:c r="J42" s="43" t="str">
        <x:v>CLOSED_WITH_ACCEPTED_DEBT</x:v>
      </x:c>
      <x:c r="K42" s="43" t="str">
        <x:v>Medium</x:v>
      </x:c>
      <x:c r="L42" s="43" t="str">
        <x:v>Informational</x:v>
      </x:c>
      <x:c r="M42" s="43" t="str">
        <x:v>Documented</x:v>
      </x:c>
      <x:c r="N42" s="43" t="str">
        <x:v>Optional-History</x:v>
      </x:c>
      <x:c r="O42" s="43" t="str"/>
      <x:c r="P42" s="43" t="str"/>
      <x:c r="Q42" s="43" t="str">
        <x:v>Foundation và accepted debt được inventory.</x:v>
      </x:c>
      <x:c r="R42" s="43" t="str"/>
      <x:c r="S42" s="43" t="str"/>
      <x:c r="T42" s="43" t="str">
        <x:v>CODEX_PRACTICE_WORKFLOW.md §Phase 8D</x:v>
      </x:c>
      <x:c r="U42" s="43" t="str">
        <x:v>practice</x:v>
      </x:c>
      <x:c r="V42" s="43" t="str">
        <x:v>Practice Media/Storage</x:v>
      </x:c>
      <x:c r="W42" s="43" t="str"/>
      <x:c r="X42" s="43" t="str"/>
      <x:c r="Y42" s="43" t="str"/>
      <x:c r="Z42" s="43" t="str">
        <x:v>Historical / Phase 15E debt</x:v>
      </x:c>
    </x:row>
    <x:row r="43" ht="58" customHeight="1">
      <x:c r="A43" s="43" t="str">
        <x:v>PRA-08D-B</x:v>
      </x:c>
      <x:c r="B43" s="43" t="str">
        <x:v>PRA-08D</x:v>
      </x:c>
      <x:c r="C43" s="43" t="n">
        <x:v>8</x:v>
      </x:c>
      <x:c r="D43" s="43" t="str">
        <x:v>8D</x:v>
      </x:c>
      <x:c r="E43" s="43" t="str">
        <x:v>Work Item</x:v>
      </x:c>
      <x:c r="F43" s="43" t="str">
        <x:v>Task</x:v>
      </x:c>
      <x:c r="G43" s="43" t="str">
        <x:v>Speaking audio upload/delete contract</x:v>
      </x:c>
      <x:c r="H43" s="43" t="str">
        <x:v>Speaking Media</x:v>
      </x:c>
      <x:c r="I43" s="43" t="str">
        <x:v>Done with Debt</x:v>
      </x:c>
      <x:c r="J43" s="43" t="str">
        <x:v>CLOSED_WITH_ACCEPTED_DEBT</x:v>
      </x:c>
      <x:c r="K43" s="43" t="str">
        <x:v>Medium</x:v>
      </x:c>
      <x:c r="L43" s="43" t="str">
        <x:v>Informational</x:v>
      </x:c>
      <x:c r="M43" s="43" t="str">
        <x:v>Documented</x:v>
      </x:c>
      <x:c r="N43" s="43" t="str">
        <x:v>Optional-History</x:v>
      </x:c>
      <x:c r="O43" s="43" t="str"/>
      <x:c r="P43" s="43" t="str"/>
      <x:c r="Q43" s="43" t="str">
        <x:v>Safe metadata response; no storage path leak.</x:v>
      </x:c>
      <x:c r="R43" s="43" t="str"/>
      <x:c r="S43" s="43" t="str"/>
      <x:c r="T43" s="43" t="str">
        <x:v>CODEX_PRACTICE_WORKFLOW.md §Phase 8D</x:v>
      </x:c>
      <x:c r="U43" s="43" t="str">
        <x:v>practice</x:v>
      </x:c>
      <x:c r="V43" s="43" t="str">
        <x:v>Practice Media/Storage</x:v>
      </x:c>
      <x:c r="W43" s="43" t="str"/>
      <x:c r="X43" s="43" t="str"/>
      <x:c r="Y43" s="43" t="str"/>
      <x:c r="Z43" s="43" t="str">
        <x:v>Historical / Phase 15E debt</x:v>
      </x:c>
    </x:row>
    <x:row r="44" ht="58" customHeight="1">
      <x:c r="A44" s="43" t="str">
        <x:v>PRA-08D-C</x:v>
      </x:c>
      <x:c r="B44" s="43" t="str">
        <x:v>PRA-08D</x:v>
      </x:c>
      <x:c r="C44" s="43" t="n">
        <x:v>8</x:v>
      </x:c>
      <x:c r="D44" s="43" t="str">
        <x:v>8D</x:v>
      </x:c>
      <x:c r="E44" s="43" t="str">
        <x:v>Work Item</x:v>
      </x:c>
      <x:c r="F44" s="43" t="str">
        <x:v>Task</x:v>
      </x:c>
      <x:c r="G44" s="43" t="str">
        <x:v>Browser recording and functional audio UI</x:v>
      </x:c>
      <x:c r="H44" s="43" t="str">
        <x:v>Speaking Media</x:v>
      </x:c>
      <x:c r="I44" s="43" t="str">
        <x:v>Done with Debt</x:v>
      </x:c>
      <x:c r="J44" s="43" t="str">
        <x:v>CLOSED_WITH_ACCEPTED_DEBT</x:v>
      </x:c>
      <x:c r="K44" s="43" t="str">
        <x:v>Medium</x:v>
      </x:c>
      <x:c r="L44" s="43" t="str">
        <x:v>Informational</x:v>
      </x:c>
      <x:c r="M44" s="43" t="str">
        <x:v>Documented</x:v>
      </x:c>
      <x:c r="N44" s="43" t="str">
        <x:v>Optional-History</x:v>
      </x:c>
      <x:c r="O44" s="43" t="str"/>
      <x:c r="P44" s="43" t="str"/>
      <x:c r="Q44" s="43" t="str">
        <x:v>Consent, upload, retry, delete và re-record states.</x:v>
      </x:c>
      <x:c r="R44" s="43" t="str"/>
      <x:c r="S44" s="43" t="str"/>
      <x:c r="T44" s="43" t="str">
        <x:v>CODEX_PRACTICE_WORKFLOW.md §Phase 8D</x:v>
      </x:c>
      <x:c r="U44" s="43" t="str">
        <x:v>practice</x:v>
      </x:c>
      <x:c r="V44" s="43" t="str">
        <x:v>Practice Media/Storage</x:v>
      </x:c>
      <x:c r="W44" s="43" t="str"/>
      <x:c r="X44" s="43" t="str"/>
      <x:c r="Y44" s="43" t="str"/>
      <x:c r="Z44" s="43" t="str">
        <x:v>Historical / Phase 15E debt</x:v>
      </x:c>
    </x:row>
    <x:row r="45" ht="58" customHeight="1">
      <x:c r="A45" s="43" t="str">
        <x:v>PRA-08D-D</x:v>
      </x:c>
      <x:c r="B45" s="43" t="str">
        <x:v>PRA-08D</x:v>
      </x:c>
      <x:c r="C45" s="43" t="n">
        <x:v>8</x:v>
      </x:c>
      <x:c r="D45" s="43" t="str">
        <x:v>8D</x:v>
      </x:c>
      <x:c r="E45" s="43" t="str">
        <x:v>Work Item</x:v>
      </x:c>
      <x:c r="F45" s="43" t="str">
        <x:v>Task</x:v>
      </x:c>
      <x:c r="G45" s="43" t="str">
        <x:v>Private Range playback</x:v>
      </x:c>
      <x:c r="H45" s="43" t="str">
        <x:v>Speaking Media</x:v>
      </x:c>
      <x:c r="I45" s="43" t="str">
        <x:v>Done with Debt</x:v>
      </x:c>
      <x:c r="J45" s="43" t="str">
        <x:v>CLOSED_WITH_ACCEPTED_DEBT</x:v>
      </x:c>
      <x:c r="K45" s="43" t="str">
        <x:v>Medium</x:v>
      </x:c>
      <x:c r="L45" s="43" t="str">
        <x:v>Informational</x:v>
      </x:c>
      <x:c r="M45" s="43" t="str">
        <x:v>Documented</x:v>
      </x:c>
      <x:c r="N45" s="43" t="str">
        <x:v>Optional-History</x:v>
      </x:c>
      <x:c r="O45" s="43" t="str"/>
      <x:c r="P45" s="43" t="str"/>
      <x:c r="Q45" s="43" t="str">
        <x:v>Authorized byte-range seeking/reload.</x:v>
      </x:c>
      <x:c r="R45" s="43" t="str"/>
      <x:c r="S45" s="43" t="str"/>
      <x:c r="T45" s="43" t="str">
        <x:v>CODEX_PRACTICE_WORKFLOW.md §Phase 8D</x:v>
      </x:c>
      <x:c r="U45" s="43" t="str">
        <x:v>practice</x:v>
      </x:c>
      <x:c r="V45" s="43" t="str">
        <x:v>Practice Media/Storage</x:v>
      </x:c>
      <x:c r="W45" s="43" t="str"/>
      <x:c r="X45" s="43" t="str"/>
      <x:c r="Y45" s="43" t="str"/>
      <x:c r="Z45" s="43" t="str">
        <x:v>Historical / Phase 15E debt</x:v>
      </x:c>
    </x:row>
    <x:row r="46" ht="58" customHeight="1">
      <x:c r="A46" s="43" t="str">
        <x:v>PRA-08D-E</x:v>
      </x:c>
      <x:c r="B46" s="43" t="str">
        <x:v>PRA-08D</x:v>
      </x:c>
      <x:c r="C46" s="43" t="n">
        <x:v>8</x:v>
      </x:c>
      <x:c r="D46" s="43" t="str">
        <x:v>8D</x:v>
      </x:c>
      <x:c r="E46" s="43" t="str">
        <x:v>Work Item</x:v>
      </x:c>
      <x:c r="F46" s="43" t="str">
        <x:v>Task</x:v>
      </x:c>
      <x:c r="G46" s="43" t="str">
        <x:v>Cleanup worker and retention</x:v>
      </x:c>
      <x:c r="H46" s="43" t="str">
        <x:v>Speaking Media</x:v>
      </x:c>
      <x:c r="I46" s="43" t="str">
        <x:v>Done with Debt</x:v>
      </x:c>
      <x:c r="J46" s="43" t="str">
        <x:v>CLOSED_WITH_ACCEPTED_DEBT</x:v>
      </x:c>
      <x:c r="K46" s="43" t="str">
        <x:v>Medium</x:v>
      </x:c>
      <x:c r="L46" s="43" t="str">
        <x:v>Informational</x:v>
      </x:c>
      <x:c r="M46" s="43" t="str">
        <x:v>Documented</x:v>
      </x:c>
      <x:c r="N46" s="43" t="str">
        <x:v>Optional-History</x:v>
      </x:c>
      <x:c r="O46" s="43" t="str"/>
      <x:c r="P46" s="43" t="str"/>
      <x:c r="Q46" s="43" t="str">
        <x:v>Bounded due batches và 24-hour discarded-media retention.</x:v>
      </x:c>
      <x:c r="R46" s="43" t="str"/>
      <x:c r="S46" s="43" t="str"/>
      <x:c r="T46" s="43" t="str">
        <x:v>CODEX_PRACTICE_WORKFLOW.md §Phase 8D</x:v>
      </x:c>
      <x:c r="U46" s="43" t="str">
        <x:v>practice</x:v>
      </x:c>
      <x:c r="V46" s="43" t="str">
        <x:v>Practice Media/Storage</x:v>
      </x:c>
      <x:c r="W46" s="43" t="str"/>
      <x:c r="X46" s="43" t="str"/>
      <x:c r="Y46" s="43" t="str"/>
      <x:c r="Z46" s="43" t="str">
        <x:v>Historical / Phase 15E debt</x:v>
      </x:c>
    </x:row>
    <x:row r="47" ht="58" customHeight="1">
      <x:c r="A47" s="43" t="str">
        <x:v>PRA-08D-F</x:v>
      </x:c>
      <x:c r="B47" s="43" t="str">
        <x:v>PRA-08D</x:v>
      </x:c>
      <x:c r="C47" s="43" t="n">
        <x:v>8</x:v>
      </x:c>
      <x:c r="D47" s="43" t="str">
        <x:v>8D</x:v>
      </x:c>
      <x:c r="E47" s="43" t="str">
        <x:v>Work Item</x:v>
      </x:c>
      <x:c r="F47" s="43" t="str">
        <x:v>Task</x:v>
      </x:c>
      <x:c r="G47" s="43" t="str">
        <x:v>Production object storage</x:v>
      </x:c>
      <x:c r="H47" s="43" t="str">
        <x:v>Speaking Media</x:v>
      </x:c>
      <x:c r="I47" s="43" t="str">
        <x:v>Backlog</x:v>
      </x:c>
      <x:c r="J47" s="43" t="str">
        <x:v>PRODUCTION_OBJECT_STORAGE_DEFERRED</x:v>
      </x:c>
      <x:c r="K47" s="43" t="str">
        <x:v>High</x:v>
      </x:c>
      <x:c r="L47" s="43" t="str">
        <x:v>High</x:v>
      </x:c>
      <x:c r="M47" s="43" t="str">
        <x:v>Documented</x:v>
      </x:c>
      <x:c r="N47" s="43" t="str">
        <x:v>Yes</x:v>
      </x:c>
      <x:c r="O47" s="43" t="str">
        <x:v>PRA-15E</x:v>
      </x:c>
      <x:c r="P47" s="43" t="str"/>
      <x:c r="Q47" s="43" t="str">
        <x:v>R2 adapter, migration, rollback, private access và multi-node reconciliation.</x:v>
      </x:c>
      <x:c r="R47" s="43" t="str"/>
      <x:c r="S47" s="43" t="str"/>
      <x:c r="T47" s="43" t="str">
        <x:v>CODEX_PRACTICE_WORKFLOW.md §Phase 8D</x:v>
      </x:c>
      <x:c r="U47" s="43" t="str">
        <x:v>practice</x:v>
      </x:c>
      <x:c r="V47" s="43" t="str">
        <x:v>Practice Media/Storage</x:v>
      </x:c>
      <x:c r="W47" s="43" t="str"/>
      <x:c r="X47" s="43" t="str"/>
      <x:c r="Y47" s="43" t="str"/>
      <x:c r="Z47" s="43" t="str">
        <x:v>Historical / Phase 15E debt</x:v>
      </x:c>
    </x:row>
    <x:row r="48" ht="58" customHeight="1">
      <x:c r="A48" s="43" t="str">
        <x:v>PRA-08E</x:v>
      </x:c>
      <x:c r="B48" s="43" t="str">
        <x:v>PRA-PROGRAM</x:v>
      </x:c>
      <x:c r="C48" s="43" t="n">
        <x:v>8</x:v>
      </x:c>
      <x:c r="D48" s="43" t="str">
        <x:v>8E</x:v>
      </x:c>
      <x:c r="E48" s="43" t="str">
        <x:v>Epic</x:v>
      </x:c>
      <x:c r="F48" s="43" t="str">
        <x:v>Epic</x:v>
      </x:c>
      <x:c r="G48" s="43" t="str">
        <x:v>Speaking AI Evaluation</x:v>
      </x:c>
      <x:c r="H48" s="43" t="str">
        <x:v>Speaking AI</x:v>
      </x:c>
      <x:c r="I48" s="43" t="str">
        <x:v>Done with Debt</x:v>
      </x:c>
      <x:c r="J48" s="43" t="str">
        <x:v>LIVE_SPEAKING_AI_NO_GO</x:v>
      </x:c>
      <x:c r="K48" s="43" t="str">
        <x:v>Highest</x:v>
      </x:c>
      <x:c r="L48" s="43" t="str">
        <x:v>High</x:v>
      </x:c>
      <x:c r="M48" s="43" t="str">
        <x:v>Documented</x:v>
      </x:c>
      <x:c r="N48" s="43" t="str">
        <x:v>Optional-History</x:v>
      </x:c>
      <x:c r="O48" s="43" t="str"/>
      <x:c r="P48" s="43" t="str">
        <x:v>Schema, transcription, evaluator, persistence, result và reuse foundation.</x:v>
      </x:c>
      <x:c r="Q48" s="43" t="str">
        <x:v>Foundation tồn tại nhưng rollout live bị chặn khi evaluator chưa nhận learner audio.</x:v>
      </x:c>
      <x:c r="R48" s="43" t="str"/>
      <x:c r="S48" s="43" t="str"/>
      <x:c r="T48" s="43" t="str">
        <x:v>CODEX_PRACTICE_WORKFLOW.md §Phase 8E</x:v>
      </x:c>
      <x:c r="U48" s="43" t="str">
        <x:v>practice</x:v>
      </x:c>
      <x:c r="V48" s="43" t="str">
        <x:v>Practice Speaking AI</x:v>
      </x:c>
      <x:c r="W48" s="43" t="str"/>
      <x:c r="X48" s="43" t="str"/>
      <x:c r="Y48" s="43" t="str"/>
      <x:c r="Z48" s="43" t="str">
        <x:v>Historical / Phase 15D-15E blocker</x:v>
      </x:c>
    </x:row>
    <x:row r="49" ht="58" customHeight="1">
      <x:c r="A49" s="43" t="str">
        <x:v>PRA-08E-A</x:v>
      </x:c>
      <x:c r="B49" s="43" t="str">
        <x:v>PRA-08E</x:v>
      </x:c>
      <x:c r="C49" s="43" t="n">
        <x:v>8</x:v>
      </x:c>
      <x:c r="D49" s="43" t="str">
        <x:v>8E</x:v>
      </x:c>
      <x:c r="E49" s="43" t="str">
        <x:v>Work Item</x:v>
      </x:c>
      <x:c r="F49" s="43" t="str">
        <x:v>Task</x:v>
      </x:c>
      <x:c r="G49" s="43" t="str">
        <x:v>Speaking schema, status and normalizer</x:v>
      </x:c>
      <x:c r="H49" s="43" t="str">
        <x:v>Speaking AI</x:v>
      </x:c>
      <x:c r="I49" s="43" t="str">
        <x:v>Done with Debt</x:v>
      </x:c>
      <x:c r="J49" s="43" t="str">
        <x:v>LIVE_SPEAKING_AI_NO_GO</x:v>
      </x:c>
      <x:c r="K49" s="43" t="str">
        <x:v>Medium</x:v>
      </x:c>
      <x:c r="L49" s="43" t="str">
        <x:v>Informational</x:v>
      </x:c>
      <x:c r="M49" s="43" t="str">
        <x:v>Documented</x:v>
      </x:c>
      <x:c r="N49" s="43" t="str">
        <x:v>Optional-History</x:v>
      </x:c>
      <x:c r="O49" s="43" t="str"/>
      <x:c r="P49" s="43" t="str"/>
      <x:c r="Q49" s="43" t="str">
        <x:v>Six-rubric typed result, range validation và honest availability.</x:v>
      </x:c>
      <x:c r="R49" s="43" t="str"/>
      <x:c r="S49" s="43" t="str"/>
      <x:c r="T49" s="43" t="str">
        <x:v>CODEX_PRACTICE_WORKFLOW.md §Phase 8E</x:v>
      </x:c>
      <x:c r="U49" s="43" t="str">
        <x:v>practice</x:v>
      </x:c>
      <x:c r="V49" s="43" t="str">
        <x:v>Practice Speaking AI</x:v>
      </x:c>
      <x:c r="W49" s="43" t="str"/>
      <x:c r="X49" s="43" t="str"/>
      <x:c r="Y49" s="43" t="str"/>
      <x:c r="Z49" s="43" t="str">
        <x:v>Historical / Phase 15D-15E blocker</x:v>
      </x:c>
    </x:row>
    <x:row r="50" ht="58" customHeight="1">
      <x:c r="A50" s="43" t="str">
        <x:v>PRA-08E-B</x:v>
      </x:c>
      <x:c r="B50" s="43" t="str">
        <x:v>PRA-08E</x:v>
      </x:c>
      <x:c r="C50" s="43" t="n">
        <x:v>8</x:v>
      </x:c>
      <x:c r="D50" s="43" t="str">
        <x:v>8E</x:v>
      </x:c>
      <x:c r="E50" s="43" t="str">
        <x:v>Work Item</x:v>
      </x:c>
      <x:c r="F50" s="43" t="str">
        <x:v>Task</x:v>
      </x:c>
      <x:c r="G50" s="43" t="str">
        <x:v>Korean transcription abstraction</x:v>
      </x:c>
      <x:c r="H50" s="43" t="str">
        <x:v>Speaking AI</x:v>
      </x:c>
      <x:c r="I50" s="43" t="str">
        <x:v>Done with Debt</x:v>
      </x:c>
      <x:c r="J50" s="43" t="str">
        <x:v>LIVE_SPEAKING_AI_NO_GO</x:v>
      </x:c>
      <x:c r="K50" s="43" t="str">
        <x:v>Medium</x:v>
      </x:c>
      <x:c r="L50" s="43" t="str">
        <x:v>Informational</x:v>
      </x:c>
      <x:c r="M50" s="43" t="str">
        <x:v>Documented</x:v>
      </x:c>
      <x:c r="N50" s="43" t="str">
        <x:v>Optional-History</x:v>
      </x:c>
      <x:c r="O50" s="43" t="str"/>
      <x:c r="P50" s="43" t="str"/>
      <x:c r="Q50" s="43" t="str">
        <x:v>Retryable error mapping, confidence metadata và safe payload.</x:v>
      </x:c>
      <x:c r="R50" s="43" t="str"/>
      <x:c r="S50" s="43" t="str"/>
      <x:c r="T50" s="43" t="str">
        <x:v>CODEX_PRACTICE_WORKFLOW.md §Phase 8E</x:v>
      </x:c>
      <x:c r="U50" s="43" t="str">
        <x:v>practice</x:v>
      </x:c>
      <x:c r="V50" s="43" t="str">
        <x:v>Practice Speaking AI</x:v>
      </x:c>
      <x:c r="W50" s="43" t="str"/>
      <x:c r="X50" s="43" t="str"/>
      <x:c r="Y50" s="43" t="str"/>
      <x:c r="Z50" s="43" t="str">
        <x:v>Historical / Phase 15D-15E blocker</x:v>
      </x:c>
    </x:row>
    <x:row r="51" ht="58" customHeight="1">
      <x:c r="A51" s="43" t="str">
        <x:v>PRA-08E-C</x:v>
      </x:c>
      <x:c r="B51" s="43" t="str">
        <x:v>PRA-08E</x:v>
      </x:c>
      <x:c r="C51" s="43" t="n">
        <x:v>8</x:v>
      </x:c>
      <x:c r="D51" s="43" t="str">
        <x:v>8E</x:v>
      </x:c>
      <x:c r="E51" s="43" t="str">
        <x:v>Work Item</x:v>
      </x:c>
      <x:c r="F51" s="43" t="str">
        <x:v>Task</x:v>
      </x:c>
      <x:c r="G51" s="43" t="str">
        <x:v>Fixed-schema evaluator provider integration</x:v>
      </x:c>
      <x:c r="H51" s="43" t="str">
        <x:v>Speaking AI</x:v>
      </x:c>
      <x:c r="I51" s="43" t="str">
        <x:v>Done with Debt</x:v>
      </x:c>
      <x:c r="J51" s="43" t="str">
        <x:v>LIVE_SPEAKING_AI_NO_GO</x:v>
      </x:c>
      <x:c r="K51" s="43" t="str">
        <x:v>Medium</x:v>
      </x:c>
      <x:c r="L51" s="43" t="str">
        <x:v>Informational</x:v>
      </x:c>
      <x:c r="M51" s="43" t="str">
        <x:v>Documented</x:v>
      </x:c>
      <x:c r="N51" s="43" t="str">
        <x:v>Optional-History</x:v>
      </x:c>
      <x:c r="O51" s="43" t="str"/>
      <x:c r="P51" s="43" t="str"/>
      <x:c r="Q51" s="43" t="str">
        <x:v>Validated provider response; no raw-body persistence.</x:v>
      </x:c>
      <x:c r="R51" s="43" t="str"/>
      <x:c r="S51" s="43" t="str"/>
      <x:c r="T51" s="43" t="str">
        <x:v>CODEX_PRACTICE_WORKFLOW.md §Phase 8E</x:v>
      </x:c>
      <x:c r="U51" s="43" t="str">
        <x:v>practice</x:v>
      </x:c>
      <x:c r="V51" s="43" t="str">
        <x:v>Practice Speaking AI</x:v>
      </x:c>
      <x:c r="W51" s="43" t="str"/>
      <x:c r="X51" s="43" t="str"/>
      <x:c r="Y51" s="43" t="str"/>
      <x:c r="Z51" s="43" t="str">
        <x:v>Historical / Phase 15D-15E blocker</x:v>
      </x:c>
    </x:row>
    <x:row r="52" ht="58" customHeight="1">
      <x:c r="A52" s="43" t="str">
        <x:v>PRA-08E-CW</x:v>
      </x:c>
      <x:c r="B52" s="43" t="str">
        <x:v>PRA-08E</x:v>
      </x:c>
      <x:c r="C52" s="43" t="n">
        <x:v>8</x:v>
      </x:c>
      <x:c r="D52" s="43" t="str">
        <x:v>8E</x:v>
      </x:c>
      <x:c r="E52" s="43" t="str">
        <x:v>Work Item</x:v>
      </x:c>
      <x:c r="F52" s="43" t="str">
        <x:v>Task</x:v>
      </x:c>
      <x:c r="G52" s="43" t="str">
        <x:v>Writing scale consistency follow-up</x:v>
      </x:c>
      <x:c r="H52" s="43" t="str">
        <x:v>Speaking AI</x:v>
      </x:c>
      <x:c r="I52" s="43" t="str">
        <x:v>Done with Debt</x:v>
      </x:c>
      <x:c r="J52" s="43" t="str">
        <x:v>LIVE_SPEAKING_AI_NO_GO</x:v>
      </x:c>
      <x:c r="K52" s="43" t="str">
        <x:v>Medium</x:v>
      </x:c>
      <x:c r="L52" s="43" t="str">
        <x:v>Informational</x:v>
      </x:c>
      <x:c r="M52" s="43" t="str">
        <x:v>Documented</x:v>
      </x:c>
      <x:c r="N52" s="43" t="str">
        <x:v>Optional-History</x:v>
      </x:c>
      <x:c r="O52" s="43" t="str"/>
      <x:c r="P52" s="43" t="str"/>
      <x:c r="Q52" s="43" t="str">
        <x:v>Stored/display scale thống nhất.</x:v>
      </x:c>
      <x:c r="R52" s="43" t="str"/>
      <x:c r="S52" s="43" t="str"/>
      <x:c r="T52" s="43" t="str">
        <x:v>CODEX_PRACTICE_WORKFLOW.md §Phase 8E</x:v>
      </x:c>
      <x:c r="U52" s="43" t="str">
        <x:v>practice</x:v>
      </x:c>
      <x:c r="V52" s="43" t="str">
        <x:v>Practice Speaking AI</x:v>
      </x:c>
      <x:c r="W52" s="43" t="str"/>
      <x:c r="X52" s="43" t="str"/>
      <x:c r="Y52" s="43" t="str"/>
      <x:c r="Z52" s="43" t="str">
        <x:v>Historical / Phase 15D-15E blocker</x:v>
      </x:c>
    </x:row>
    <x:row r="53" ht="58" customHeight="1">
      <x:c r="A53" s="43" t="str">
        <x:v>PRA-08E-CW2</x:v>
      </x:c>
      <x:c r="B53" s="43" t="str">
        <x:v>PRA-08E</x:v>
      </x:c>
      <x:c r="C53" s="43" t="n">
        <x:v>8</x:v>
      </x:c>
      <x:c r="D53" s="43" t="str">
        <x:v>8E</x:v>
      </x:c>
      <x:c r="E53" s="43" t="str">
        <x:v>Work Item</x:v>
      </x:c>
      <x:c r="F53" s="43" t="str">
        <x:v>Task</x:v>
      </x:c>
      <x:c r="G53" s="43" t="str">
        <x:v>Writing task-native scoring matrix follow-up</x:v>
      </x:c>
      <x:c r="H53" s="43" t="str">
        <x:v>Speaking AI</x:v>
      </x:c>
      <x:c r="I53" s="43" t="str">
        <x:v>Done with Debt</x:v>
      </x:c>
      <x:c r="J53" s="43" t="str">
        <x:v>LIVE_SPEAKING_AI_NO_GO</x:v>
      </x:c>
      <x:c r="K53" s="43" t="str">
        <x:v>Medium</x:v>
      </x:c>
      <x:c r="L53" s="43" t="str">
        <x:v>Informational</x:v>
      </x:c>
      <x:c r="M53" s="43" t="str">
        <x:v>Documented</x:v>
      </x:c>
      <x:c r="N53" s="43" t="str">
        <x:v>Optional-History</x:v>
      </x:c>
      <x:c r="O53" s="43" t="str"/>
      <x:c r="P53" s="43" t="str"/>
      <x:c r="Q53" s="43" t="str">
        <x:v>No double scaling.</x:v>
      </x:c>
      <x:c r="R53" s="43" t="str"/>
      <x:c r="S53" s="43" t="str"/>
      <x:c r="T53" s="43" t="str">
        <x:v>CODEX_PRACTICE_WORKFLOW.md §Phase 8E</x:v>
      </x:c>
      <x:c r="U53" s="43" t="str">
        <x:v>practice</x:v>
      </x:c>
      <x:c r="V53" s="43" t="str">
        <x:v>Practice Speaking AI</x:v>
      </x:c>
      <x:c r="W53" s="43" t="str"/>
      <x:c r="X53" s="43" t="str"/>
      <x:c r="Y53" s="43" t="str"/>
      <x:c r="Z53" s="43" t="str">
        <x:v>Historical / Phase 15D-15E blocker</x:v>
      </x:c>
    </x:row>
    <x:row r="54" ht="58" customHeight="1">
      <x:c r="A54" s="43" t="str">
        <x:v>PRA-08E-D</x:v>
      </x:c>
      <x:c r="B54" s="43" t="str">
        <x:v>PRA-08E</x:v>
      </x:c>
      <x:c r="C54" s="43" t="n">
        <x:v>8</x:v>
      </x:c>
      <x:c r="D54" s="43" t="str">
        <x:v>8E</x:v>
      </x:c>
      <x:c r="E54" s="43" t="str">
        <x:v>Work Item</x:v>
      </x:c>
      <x:c r="F54" s="43" t="str">
        <x:v>Task</x:v>
      </x:c>
      <x:c r="G54" s="43" t="str">
        <x:v>Speaking persistence and result rendering</x:v>
      </x:c>
      <x:c r="H54" s="43" t="str">
        <x:v>Speaking AI</x:v>
      </x:c>
      <x:c r="I54" s="43" t="str">
        <x:v>Done with Debt</x:v>
      </x:c>
      <x:c r="J54" s="43" t="str">
        <x:v>LIVE_SPEAKING_AI_NO_GO</x:v>
      </x:c>
      <x:c r="K54" s="43" t="str">
        <x:v>Medium</x:v>
      </x:c>
      <x:c r="L54" s="43" t="str">
        <x:v>Informational</x:v>
      </x:c>
      <x:c r="M54" s="43" t="str">
        <x:v>Documented</x:v>
      </x:c>
      <x:c r="N54" s="43" t="str">
        <x:v>Optional-History</x:v>
      </x:c>
      <x:c r="O54" s="43" t="str"/>
      <x:c r="P54" s="43" t="str"/>
      <x:c r="Q54" s="43" t="str">
        <x:v>Status/result stored and rendered without mock promotion.</x:v>
      </x:c>
      <x:c r="R54" s="43" t="str"/>
      <x:c r="S54" s="43" t="str"/>
      <x:c r="T54" s="43" t="str">
        <x:v>CODEX_PRACTICE_WORKFLOW.md §Phase 8E</x:v>
      </x:c>
      <x:c r="U54" s="43" t="str">
        <x:v>practice</x:v>
      </x:c>
      <x:c r="V54" s="43" t="str">
        <x:v>Practice Speaking AI</x:v>
      </x:c>
      <x:c r="W54" s="43" t="str"/>
      <x:c r="X54" s="43" t="str"/>
      <x:c r="Y54" s="43" t="str"/>
      <x:c r="Z54" s="43" t="str">
        <x:v>Historical / Phase 15D-15E blocker</x:v>
      </x:c>
    </x:row>
    <x:row r="55" ht="58" customHeight="1">
      <x:c r="A55" s="43" t="str">
        <x:v>PRA-08E-E</x:v>
      </x:c>
      <x:c r="B55" s="43" t="str">
        <x:v>PRA-08E</x:v>
      </x:c>
      <x:c r="C55" s="43" t="n">
        <x:v>8</x:v>
      </x:c>
      <x:c r="D55" s="43" t="str">
        <x:v>8E</x:v>
      </x:c>
      <x:c r="E55" s="43" t="str">
        <x:v>Work Item</x:v>
      </x:c>
      <x:c r="F55" s="43" t="str">
        <x:v>Task</x:v>
      </x:c>
      <x:c r="G55" s="43" t="str">
        <x:v>Re-evaluation and transcript reuse</x:v>
      </x:c>
      <x:c r="H55" s="43" t="str">
        <x:v>Speaking AI</x:v>
      </x:c>
      <x:c r="I55" s="43" t="str">
        <x:v>Done with Debt</x:v>
      </x:c>
      <x:c r="J55" s="43" t="str">
        <x:v>LIVE_SPEAKING_AI_NO_GO</x:v>
      </x:c>
      <x:c r="K55" s="43" t="str">
        <x:v>Medium</x:v>
      </x:c>
      <x:c r="L55" s="43" t="str">
        <x:v>Informational</x:v>
      </x:c>
      <x:c r="M55" s="43" t="str">
        <x:v>Documented</x:v>
      </x:c>
      <x:c r="N55" s="43" t="str">
        <x:v>Optional-History</x:v>
      </x:c>
      <x:c r="O55" s="43" t="str"/>
      <x:c r="P55" s="43" t="str"/>
      <x:c r="Q55" s="43" t="str">
        <x:v>Idempotent reuse; retry rebuilds media resource.</x:v>
      </x:c>
      <x:c r="R55" s="43" t="str"/>
      <x:c r="S55" s="43" t="str"/>
      <x:c r="T55" s="43" t="str">
        <x:v>CODEX_PRACTICE_WORKFLOW.md §Phase 8E</x:v>
      </x:c>
      <x:c r="U55" s="43" t="str">
        <x:v>practice</x:v>
      </x:c>
      <x:c r="V55" s="43" t="str">
        <x:v>Practice Speaking AI</x:v>
      </x:c>
      <x:c r="W55" s="43" t="str"/>
      <x:c r="X55" s="43" t="str"/>
      <x:c r="Y55" s="43" t="str"/>
      <x:c r="Z55" s="43" t="str">
        <x:v>Historical / Phase 15D-15E blocker</x:v>
      </x:c>
    </x:row>
    <x:row r="56" ht="58" customHeight="1">
      <x:c r="A56" s="43" t="str">
        <x:v>PRA-08E-F</x:v>
      </x:c>
      <x:c r="B56" s="43" t="str">
        <x:v>PRA-08E</x:v>
      </x:c>
      <x:c r="C56" s="43" t="n">
        <x:v>8</x:v>
      </x:c>
      <x:c r="D56" s="43" t="str">
        <x:v>8E</x:v>
      </x:c>
      <x:c r="E56" s="43" t="str">
        <x:v>Work Item</x:v>
      </x:c>
      <x:c r="F56" s="43" t="str">
        <x:v>Task</x:v>
      </x:c>
      <x:c r="G56" s="43" t="str">
        <x:v>Audio-grounded rollout blocker</x:v>
      </x:c>
      <x:c r="H56" s="43" t="str">
        <x:v>Speaking AI</x:v>
      </x:c>
      <x:c r="I56" s="43" t="str">
        <x:v>Blocked</x:v>
      </x:c>
      <x:c r="J56" s="43" t="str">
        <x:v>NO_GO</x:v>
      </x:c>
      <x:c r="K56" s="43" t="str">
        <x:v>Highest</x:v>
      </x:c>
      <x:c r="L56" s="43" t="str">
        <x:v>High</x:v>
      </x:c>
      <x:c r="M56" s="43" t="str">
        <x:v>Documented Risk</x:v>
      </x:c>
      <x:c r="N56" s="43" t="str">
        <x:v>Yes</x:v>
      </x:c>
      <x:c r="O56" s="43" t="str">
        <x:v>PRA-15D,PRA-15E</x:v>
      </x:c>
      <x:c r="P56" s="43" t="str"/>
      <x:c r="Q56" s="43" t="str">
        <x:v>Evaluator payload contains audio evidence or UI labels unsupported acoustic criteria unavailable/advisory.</x:v>
      </x:c>
      <x:c r="R56" s="43" t="str"/>
      <x:c r="S56" s="43" t="str"/>
      <x:c r="T56" s="43" t="str">
        <x:v>CODEX_PRACTICE_WORKFLOW.md §Phase 8E</x:v>
      </x:c>
      <x:c r="U56" s="43" t="str">
        <x:v>practice</x:v>
      </x:c>
      <x:c r="V56" s="43" t="str">
        <x:v>Practice Speaking AI</x:v>
      </x:c>
      <x:c r="W56" s="43" t="str"/>
      <x:c r="X56" s="43" t="str"/>
      <x:c r="Y56" s="43" t="str"/>
      <x:c r="Z56" s="43" t="str">
        <x:v>Historical / Phase 15D-15E blocker</x:v>
      </x:c>
    </x:row>
    <x:row r="57" ht="58" customHeight="1">
      <x:c r="A57" s="43" t="str">
        <x:v>PRA-08F</x:v>
      </x:c>
      <x:c r="B57" s="43" t="str">
        <x:v>PRA-PROGRAM</x:v>
      </x:c>
      <x:c r="C57" s="43" t="n">
        <x:v>8</x:v>
      </x:c>
      <x:c r="D57" s="43" t="str">
        <x:v>8F</x:v>
      </x:c>
      <x:c r="E57" s="43" t="str">
        <x:v>Epic</x:v>
      </x:c>
      <x:c r="F57" s="43" t="str">
        <x:v>Epic</x:v>
      </x:c>
      <x:c r="G57" s="43" t="str">
        <x:v>AI Production Hardening &amp; Rollout Readiness</x:v>
      </x:c>
      <x:c r="H57" s="43" t="str">
        <x:v>AI Operations</x:v>
      </x:c>
      <x:c r="I57" s="43" t="str">
        <x:v>Done with Debt</x:v>
      </x:c>
      <x:c r="J57" s="43" t="str">
        <x:v>PRODUCTION_READINESS_DEFERRED</x:v>
      </x:c>
      <x:c r="K57" s="43" t="str">
        <x:v>Medium</x:v>
      </x:c>
      <x:c r="L57" s="43" t="str">
        <x:v>Informational</x:v>
      </x:c>
      <x:c r="M57" s="43" t="str">
        <x:v>Documented</x:v>
      </x:c>
      <x:c r="N57" s="43" t="str">
        <x:v>Optional-History</x:v>
      </x:c>
      <x:c r="O57" s="43" t="str"/>
      <x:c r="P57" s="43" t="str">
        <x:v>Readiness checks, privacy, resilience và rollout guards.</x:v>
      </x:c>
      <x:c r="Q57" s="43" t="str">
        <x:v>Capability-specific rollout remains separately gated.</x:v>
      </x:c>
      <x:c r="R57" s="43" t="str"/>
      <x:c r="S57" s="43" t="str"/>
      <x:c r="T57" s="43" t="str">
        <x:v>CODEX_PRACTICE_WORKFLOW.md §Phase 8F</x:v>
      </x:c>
      <x:c r="U57" s="43" t="str">
        <x:v>practice</x:v>
      </x:c>
      <x:c r="V57" s="43" t="str">
        <x:v>Practice Worker/Operations</x:v>
      </x:c>
      <x:c r="W57" s="43" t="str"/>
      <x:c r="X57" s="43" t="str"/>
      <x:c r="Y57" s="43" t="str"/>
      <x:c r="Z57" s="43" t="str">
        <x:v>Historical / Phase 15</x:v>
      </x:c>
    </x:row>
    <x:row r="58" ht="58" customHeight="1">
      <x:c r="A58" s="43" t="str">
        <x:v>PRA-08F-T01</x:v>
      </x:c>
      <x:c r="B58" s="43" t="str">
        <x:v>PRA-08F</x:v>
      </x:c>
      <x:c r="C58" s="43" t="n">
        <x:v>8</x:v>
      </x:c>
      <x:c r="D58" s="43" t="str">
        <x:v>8F</x:v>
      </x:c>
      <x:c r="E58" s="43" t="str">
        <x:v>Work Item</x:v>
      </x:c>
      <x:c r="F58" s="43" t="str">
        <x:v>Task</x:v>
      </x:c>
      <x:c r="G58" s="43" t="str">
        <x:v>Provider readiness and feature flags</x:v>
      </x:c>
      <x:c r="H58" s="43" t="str">
        <x:v>AI Operations</x:v>
      </x:c>
      <x:c r="I58" s="43" t="str">
        <x:v>Done with Debt</x:v>
      </x:c>
      <x:c r="J58" s="43" t="str">
        <x:v>PRODUCTION_READINESS_DEFERRED</x:v>
      </x:c>
      <x:c r="K58" s="43" t="str">
        <x:v>Medium</x:v>
      </x:c>
      <x:c r="L58" s="43" t="str">
        <x:v>Informational</x:v>
      </x:c>
      <x:c r="M58" s="43" t="str">
        <x:v>Documented</x:v>
      </x:c>
      <x:c r="N58" s="43" t="str">
        <x:v>Optional-History</x:v>
      </x:c>
      <x:c r="O58" s="43" t="str"/>
      <x:c r="P58" s="43" t="str"/>
      <x:c r="Q58" s="43" t="str">
        <x:v>Disabled-by-default unsafe capability.</x:v>
      </x:c>
      <x:c r="R58" s="43" t="str"/>
      <x:c r="S58" s="43" t="str"/>
      <x:c r="T58" s="43" t="str">
        <x:v>CODEX_PRACTICE_WORKFLOW.md §Phase 8F</x:v>
      </x:c>
      <x:c r="U58" s="43" t="str">
        <x:v>practice</x:v>
      </x:c>
      <x:c r="V58" s="43" t="str">
        <x:v>Practice Worker/Operations</x:v>
      </x:c>
      <x:c r="W58" s="43" t="str"/>
      <x:c r="X58" s="43" t="str"/>
      <x:c r="Y58" s="43" t="str"/>
      <x:c r="Z58" s="43" t="str">
        <x:v>Historical / Phase 15</x:v>
      </x:c>
    </x:row>
    <x:row r="59" ht="58" customHeight="1">
      <x:c r="A59" s="43" t="str">
        <x:v>PRA-08F-T02</x:v>
      </x:c>
      <x:c r="B59" s="43" t="str">
        <x:v>PRA-08F</x:v>
      </x:c>
      <x:c r="C59" s="43" t="n">
        <x:v>8</x:v>
      </x:c>
      <x:c r="D59" s="43" t="str">
        <x:v>8F</x:v>
      </x:c>
      <x:c r="E59" s="43" t="str">
        <x:v>Work Item</x:v>
      </x:c>
      <x:c r="F59" s="43" t="str">
        <x:v>Task</x:v>
      </x:c>
      <x:c r="G59" s="43" t="str">
        <x:v>Timeout, retry and fallback policy</x:v>
      </x:c>
      <x:c r="H59" s="43" t="str">
        <x:v>AI Operations</x:v>
      </x:c>
      <x:c r="I59" s="43" t="str">
        <x:v>Done with Debt</x:v>
      </x:c>
      <x:c r="J59" s="43" t="str">
        <x:v>PRODUCTION_READINESS_DEFERRED</x:v>
      </x:c>
      <x:c r="K59" s="43" t="str">
        <x:v>Medium</x:v>
      </x:c>
      <x:c r="L59" s="43" t="str">
        <x:v>Informational</x:v>
      </x:c>
      <x:c r="M59" s="43" t="str">
        <x:v>Documented</x:v>
      </x:c>
      <x:c r="N59" s="43" t="str">
        <x:v>Optional-History</x:v>
      </x:c>
      <x:c r="O59" s="43" t="str"/>
      <x:c r="P59" s="43" t="str"/>
      <x:c r="Q59" s="43" t="str">
        <x:v>Bounded latency và honest failure semantics.</x:v>
      </x:c>
      <x:c r="R59" s="43" t="str"/>
      <x:c r="S59" s="43" t="str"/>
      <x:c r="T59" s="43" t="str">
        <x:v>CODEX_PRACTICE_WORKFLOW.md §Phase 8F</x:v>
      </x:c>
      <x:c r="U59" s="43" t="str">
        <x:v>practice</x:v>
      </x:c>
      <x:c r="V59" s="43" t="str">
        <x:v>Practice Worker/Operations</x:v>
      </x:c>
      <x:c r="W59" s="43" t="str"/>
      <x:c r="X59" s="43" t="str"/>
      <x:c r="Y59" s="43" t="str"/>
      <x:c r="Z59" s="43" t="str">
        <x:v>Historical / Phase 15</x:v>
      </x:c>
    </x:row>
    <x:row r="60" ht="58" customHeight="1">
      <x:c r="A60" s="43" t="str">
        <x:v>PRA-08F-T03</x:v>
      </x:c>
      <x:c r="B60" s="43" t="str">
        <x:v>PRA-08F</x:v>
      </x:c>
      <x:c r="C60" s="43" t="n">
        <x:v>8</x:v>
      </x:c>
      <x:c r="D60" s="43" t="str">
        <x:v>8F</x:v>
      </x:c>
      <x:c r="E60" s="43" t="str">
        <x:v>Work Item</x:v>
      </x:c>
      <x:c r="F60" s="43" t="str">
        <x:v>Task</x:v>
      </x:c>
      <x:c r="G60" s="43" t="str">
        <x:v>Calibration and operator approval debt</x:v>
      </x:c>
      <x:c r="H60" s="43" t="str">
        <x:v>AI Operations</x:v>
      </x:c>
      <x:c r="I60" s="43" t="str">
        <x:v>Backlog</x:v>
      </x:c>
      <x:c r="J60" s="43" t="str">
        <x:v>ROUTED_TO_PHASE_15</x:v>
      </x:c>
      <x:c r="K60" s="43" t="str">
        <x:v>Medium</x:v>
      </x:c>
      <x:c r="L60" s="43" t="str">
        <x:v>Informational</x:v>
      </x:c>
      <x:c r="M60" s="43" t="str">
        <x:v>Documented</x:v>
      </x:c>
      <x:c r="N60" s="43" t="str">
        <x:v>Yes</x:v>
      </x:c>
      <x:c r="O60" s="43" t="str">
        <x:v>PRA-15D,PRA-15F</x:v>
      </x:c>
      <x:c r="P60" s="43" t="str"/>
      <x:c r="Q60" s="43" t="str">
        <x:v>Calibration, cost and outage runbooks approved.</x:v>
      </x:c>
      <x:c r="R60" s="43" t="str"/>
      <x:c r="S60" s="43" t="str"/>
      <x:c r="T60" s="43" t="str">
        <x:v>CODEX_PRACTICE_WORKFLOW.md §Phase 8F</x:v>
      </x:c>
      <x:c r="U60" s="43" t="str">
        <x:v>practice</x:v>
      </x:c>
      <x:c r="V60" s="43" t="str">
        <x:v>Practice Worker/Operations</x:v>
      </x:c>
      <x:c r="W60" s="43" t="str"/>
      <x:c r="X60" s="43" t="str"/>
      <x:c r="Y60" s="43" t="str"/>
      <x:c r="Z60" s="43" t="str">
        <x:v>Historical / Phase 15</x:v>
      </x:c>
    </x:row>
    <x:row r="61" ht="58" customHeight="1">
      <x:c r="A61" s="43" t="str">
        <x:v>PRA-08G</x:v>
      </x:c>
      <x:c r="B61" s="43" t="str">
        <x:v>PRA-PROGRAM</x:v>
      </x:c>
      <x:c r="C61" s="43" t="n">
        <x:v>8</x:v>
      </x:c>
      <x:c r="D61" s="43" t="str">
        <x:v>8G</x:v>
      </x:c>
      <x:c r="E61" s="43" t="str">
        <x:v>Epic</x:v>
      </x:c>
      <x:c r="F61" s="43" t="str">
        <x:v>Epic</x:v>
      </x:c>
      <x:c r="G61" s="43" t="str">
        <x:v>Practice-Wide Functional UI / Integration Regression</x:v>
      </x:c>
      <x:c r="H61" s="43" t="str">
        <x:v>Learner Flow</x:v>
      </x:c>
      <x:c r="I61" s="43" t="str">
        <x:v>Done</x:v>
      </x:c>
      <x:c r="J61" s="43" t="str">
        <x:v>CLOSED_VERIFIED</x:v>
      </x:c>
      <x:c r="K61" s="43" t="str">
        <x:v>Medium</x:v>
      </x:c>
      <x:c r="L61" s="43" t="str">
        <x:v>Informational</x:v>
      </x:c>
      <x:c r="M61" s="43" t="str">
        <x:v>Documented</x:v>
      </x:c>
      <x:c r="N61" s="43" t="str">
        <x:v>Optional-History</x:v>
      </x:c>
      <x:c r="O61" s="43" t="str"/>
      <x:c r="P61" s="43" t="str">
        <x:v>Route/data binding và canonical learner navigation.</x:v>
      </x:c>
      <x:c r="Q61" s="43" t="str">
        <x:v>Set/test/mode/player/result navigation thống nhất.</x:v>
      </x:c>
      <x:c r="R61" s="43" t="str"/>
      <x:c r="S61" s="43" t="str"/>
      <x:c r="T61" s="43" t="str">
        <x:v>CODEX_PRACTICE_WORKFLOW.md §Phase 8G</x:v>
      </x:c>
      <x:c r="U61" s="43" t="str">
        <x:v>practice</x:v>
      </x:c>
      <x:c r="V61" s="43" t="str">
        <x:v>Practice Learner</x:v>
      </x:c>
      <x:c r="W61" s="43" t="str"/>
      <x:c r="X61" s="43" t="str"/>
      <x:c r="Y61" s="43" t="str"/>
      <x:c r="Z61" s="43" t="str">
        <x:v>Historical</x:v>
      </x:c>
    </x:row>
    <x:row r="62" ht="58" customHeight="1">
      <x:c r="A62" s="43" t="str">
        <x:v>PRA-08G-T01</x:v>
      </x:c>
      <x:c r="B62" s="43" t="str">
        <x:v>PRA-08G</x:v>
      </x:c>
      <x:c r="C62" s="43" t="n">
        <x:v>8</x:v>
      </x:c>
      <x:c r="D62" s="43" t="str">
        <x:v>8G</x:v>
      </x:c>
      <x:c r="E62" s="43" t="str">
        <x:v>Work Item</x:v>
      </x:c>
      <x:c r="F62" s="43" t="str">
        <x:v>Task</x:v>
      </x:c>
      <x:c r="G62" s="43" t="str">
        <x:v>Canonical route and data binding</x:v>
      </x:c>
      <x:c r="H62" s="43" t="str">
        <x:v>Learner Flow</x:v>
      </x:c>
      <x:c r="I62" s="43" t="str">
        <x:v>Done</x:v>
      </x:c>
      <x:c r="J62" s="43" t="str">
        <x:v>CLOSED_VERIFIED</x:v>
      </x:c>
      <x:c r="K62" s="43" t="str">
        <x:v>Medium</x:v>
      </x:c>
      <x:c r="L62" s="43" t="str">
        <x:v>Informational</x:v>
      </x:c>
      <x:c r="M62" s="43" t="str">
        <x:v>Documented</x:v>
      </x:c>
      <x:c r="N62" s="43" t="str">
        <x:v>Optional-History</x:v>
      </x:c>
      <x:c r="O62" s="43" t="str"/>
      <x:c r="P62" s="43" t="str"/>
      <x:c r="Q62" s="43" t="str">
        <x:v>Không default-test assumption.</x:v>
      </x:c>
      <x:c r="R62" s="43" t="str"/>
      <x:c r="S62" s="43" t="str"/>
      <x:c r="T62" s="43" t="str">
        <x:v>CODEX_PRACTICE_WORKFLOW.md §Phase 8G</x:v>
      </x:c>
      <x:c r="U62" s="43" t="str">
        <x:v>practice</x:v>
      </x:c>
      <x:c r="V62" s="43" t="str">
        <x:v>Practice Learner</x:v>
      </x:c>
      <x:c r="W62" s="43" t="str"/>
      <x:c r="X62" s="43" t="str"/>
      <x:c r="Y62" s="43" t="str"/>
      <x:c r="Z62" s="43" t="str">
        <x:v>Historical</x:v>
      </x:c>
    </x:row>
    <x:row r="63" ht="58" customHeight="1">
      <x:c r="A63" s="43" t="str">
        <x:v>PRA-08G-T02</x:v>
      </x:c>
      <x:c r="B63" s="43" t="str">
        <x:v>PRA-08G</x:v>
      </x:c>
      <x:c r="C63" s="43" t="n">
        <x:v>8</x:v>
      </x:c>
      <x:c r="D63" s="43" t="str">
        <x:v>8G</x:v>
      </x:c>
      <x:c r="E63" s="43" t="str">
        <x:v>Work Item</x:v>
      </x:c>
      <x:c r="F63" s="43" t="str">
        <x:v>Task</x:v>
      </x:c>
      <x:c r="G63" s="43" t="str">
        <x:v>Player and result integration regression</x:v>
      </x:c>
      <x:c r="H63" s="43" t="str">
        <x:v>Learner Flow</x:v>
      </x:c>
      <x:c r="I63" s="43" t="str">
        <x:v>Done</x:v>
      </x:c>
      <x:c r="J63" s="43" t="str">
        <x:v>CLOSED_VERIFIED</x:v>
      </x:c>
      <x:c r="K63" s="43" t="str">
        <x:v>Medium</x:v>
      </x:c>
      <x:c r="L63" s="43" t="str">
        <x:v>Informational</x:v>
      </x:c>
      <x:c r="M63" s="43" t="str">
        <x:v>Documented</x:v>
      </x:c>
      <x:c r="N63" s="43" t="str">
        <x:v>Optional-History</x:v>
      </x:c>
      <x:c r="O63" s="43" t="str"/>
      <x:c r="P63" s="43" t="str"/>
      <x:c r="Q63" s="43" t="str">
        <x:v>R/L/W/S navigation đúng attempt/test identity.</x:v>
      </x:c>
      <x:c r="R63" s="43" t="str"/>
      <x:c r="S63" s="43" t="str"/>
      <x:c r="T63" s="43" t="str">
        <x:v>CODEX_PRACTICE_WORKFLOW.md §Phase 8G</x:v>
      </x:c>
      <x:c r="U63" s="43" t="str">
        <x:v>practice</x:v>
      </x:c>
      <x:c r="V63" s="43" t="str">
        <x:v>Practice Learner</x:v>
      </x:c>
      <x:c r="W63" s="43" t="str"/>
      <x:c r="X63" s="43" t="str"/>
      <x:c r="Y63" s="43" t="str"/>
      <x:c r="Z63" s="43" t="str">
        <x:v>Historical</x:v>
      </x:c>
    </x:row>
    <x:row r="64" ht="58" customHeight="1">
      <x:c r="A64" s="43" t="str">
        <x:v>PRA-08G-T03</x:v>
      </x:c>
      <x:c r="B64" s="43" t="str">
        <x:v>PRA-08G</x:v>
      </x:c>
      <x:c r="C64" s="43" t="n">
        <x:v>8</x:v>
      </x:c>
      <x:c r="D64" s="43" t="str">
        <x:v>8G</x:v>
      </x:c>
      <x:c r="E64" s="43" t="str">
        <x:v>Work Item</x:v>
      </x:c>
      <x:c r="F64" s="43" t="str">
        <x:v>Task</x:v>
      </x:c>
      <x:c r="G64" s="43" t="str">
        <x:v>Legacy redirect stabilization</x:v>
      </x:c>
      <x:c r="H64" s="43" t="str">
        <x:v>Learner Flow</x:v>
      </x:c>
      <x:c r="I64" s="43" t="str">
        <x:v>Done</x:v>
      </x:c>
      <x:c r="J64" s="43" t="str">
        <x:v>CLOSED_VERIFIED</x:v>
      </x:c>
      <x:c r="K64" s="43" t="str">
        <x:v>Medium</x:v>
      </x:c>
      <x:c r="L64" s="43" t="str">
        <x:v>Informational</x:v>
      </x:c>
      <x:c r="M64" s="43" t="str">
        <x:v>Documented</x:v>
      </x:c>
      <x:c r="N64" s="43" t="str">
        <x:v>Optional-History</x:v>
      </x:c>
      <x:c r="O64" s="43" t="str"/>
      <x:c r="P64" s="43" t="str"/>
      <x:c r="Q64" s="43" t="str">
        <x:v>Redirect có caller/test hoặc được retire có chủ đích.</x:v>
      </x:c>
      <x:c r="R64" s="43" t="str"/>
      <x:c r="S64" s="43" t="str"/>
      <x:c r="T64" s="43" t="str">
        <x:v>CODEX_PRACTICE_WORKFLOW.md §Phase 8G</x:v>
      </x:c>
      <x:c r="U64" s="43" t="str">
        <x:v>practice</x:v>
      </x:c>
      <x:c r="V64" s="43" t="str">
        <x:v>Practice Learner</x:v>
      </x:c>
      <x:c r="W64" s="43" t="str"/>
      <x:c r="X64" s="43" t="str"/>
      <x:c r="Y64" s="43" t="str"/>
      <x:c r="Z64" s="43" t="str">
        <x:v>Historical</x:v>
      </x:c>
    </x:row>
    <x:row r="65" ht="58" customHeight="1">
      <x:c r="A65" s="43" t="str">
        <x:v>PRA-08H</x:v>
      </x:c>
      <x:c r="B65" s="43" t="str">
        <x:v>PRA-PROGRAM</x:v>
      </x:c>
      <x:c r="C65" s="43" t="n">
        <x:v>8</x:v>
      </x:c>
      <x:c r="D65" s="43" t="str">
        <x:v>8H</x:v>
      </x:c>
      <x:c r="E65" s="43" t="str">
        <x:v>Epic</x:v>
      </x:c>
      <x:c r="F65" s="43" t="str">
        <x:v>Epic</x:v>
      </x:c>
      <x:c r="G65" s="43" t="str">
        <x:v>Architecture, Security Boundary &amp; Maintainability</x:v>
      </x:c>
      <x:c r="H65" s="43" t="str">
        <x:v>Architecture &amp; Security</x:v>
      </x:c>
      <x:c r="I65" s="43" t="str">
        <x:v>Done with Debt</x:v>
      </x:c>
      <x:c r="J65" s="43" t="str">
        <x:v>CLOSED_WITH_ACCEPTED_DEBT</x:v>
      </x:c>
      <x:c r="K65" s="43" t="str">
        <x:v>Medium</x:v>
      </x:c>
      <x:c r="L65" s="43" t="str">
        <x:v>Informational</x:v>
      </x:c>
      <x:c r="M65" s="43" t="str">
        <x:v>Documented</x:v>
      </x:c>
      <x:c r="N65" s="43" t="str">
        <x:v>Optional-History</x:v>
      </x:c>
      <x:c r="O65" s="43" t="str"/>
      <x:c r="P65" s="43" t="str">
        <x:v>Route/view/model/form/media constants và security boundaries.</x:v>
      </x:c>
      <x:c r="Q65" s="43" t="str">
        <x:v>Private media/no-leak boundary tests; no big-bang rewrite.</x:v>
      </x:c>
      <x:c r="R65" s="43" t="str"/>
      <x:c r="S65" s="43" t="str"/>
      <x:c r="T65" s="43" t="str">
        <x:v>CODEX_PRACTICE_WORKFLOW.md §Phase 8H</x:v>
      </x:c>
      <x:c r="U65" s="43" t="str">
        <x:v>practice</x:v>
      </x:c>
      <x:c r="V65" s="43" t="str">
        <x:v>Practice Security</x:v>
      </x:c>
      <x:c r="W65" s="43" t="str"/>
      <x:c r="X65" s="43" t="str"/>
      <x:c r="Y65" s="43" t="str"/>
      <x:c r="Z65" s="43" t="str">
        <x:v>Historical / incremental debt</x:v>
      </x:c>
    </x:row>
    <x:row r="66" ht="58" customHeight="1">
      <x:c r="A66" s="43" t="str">
        <x:v>PRA-08H-T01</x:v>
      </x:c>
      <x:c r="B66" s="43" t="str">
        <x:v>PRA-08H</x:v>
      </x:c>
      <x:c r="C66" s="43" t="n">
        <x:v>8</x:v>
      </x:c>
      <x:c r="D66" s="43" t="str">
        <x:v>8H</x:v>
      </x:c>
      <x:c r="E66" s="43" t="str">
        <x:v>Work Item</x:v>
      </x:c>
      <x:c r="F66" s="43" t="str">
        <x:v>Task</x:v>
      </x:c>
      <x:c r="G66" s="43" t="str">
        <x:v>Extract narrow route/view/form boundaries</x:v>
      </x:c>
      <x:c r="H66" s="43" t="str">
        <x:v>Architecture &amp; Security</x:v>
      </x:c>
      <x:c r="I66" s="43" t="str">
        <x:v>Done with Debt</x:v>
      </x:c>
      <x:c r="J66" s="43" t="str">
        <x:v>CLOSED_WITH_ACCEPTED_DEBT</x:v>
      </x:c>
      <x:c r="K66" s="43" t="str">
        <x:v>Medium</x:v>
      </x:c>
      <x:c r="L66" s="43" t="str">
        <x:v>Informational</x:v>
      </x:c>
      <x:c r="M66" s="43" t="str">
        <x:v>Documented</x:v>
      </x:c>
      <x:c r="N66" s="43" t="str">
        <x:v>Optional-History</x:v>
      </x:c>
      <x:c r="O66" s="43" t="str"/>
      <x:c r="P66" s="43" t="str"/>
      <x:c r="Q66" s="43" t="str">
        <x:v>Constants và mapper ownership rõ ràng.</x:v>
      </x:c>
      <x:c r="R66" s="43" t="str"/>
      <x:c r="S66" s="43" t="str"/>
      <x:c r="T66" s="43" t="str">
        <x:v>CODEX_PRACTICE_WORKFLOW.md §Phase 8H</x:v>
      </x:c>
      <x:c r="U66" s="43" t="str">
        <x:v>practice</x:v>
      </x:c>
      <x:c r="V66" s="43" t="str">
        <x:v>Practice Security</x:v>
      </x:c>
      <x:c r="W66" s="43" t="str"/>
      <x:c r="X66" s="43" t="str"/>
      <x:c r="Y66" s="43" t="str"/>
      <x:c r="Z66" s="43" t="str">
        <x:v>Historical / incremental debt</x:v>
      </x:c>
    </x:row>
    <x:row r="67" ht="58" customHeight="1">
      <x:c r="A67" s="43" t="str">
        <x:v>PRA-08H-T02</x:v>
      </x:c>
      <x:c r="B67" s="43" t="str">
        <x:v>PRA-08H</x:v>
      </x:c>
      <x:c r="C67" s="43" t="n">
        <x:v>8</x:v>
      </x:c>
      <x:c r="D67" s="43" t="str">
        <x:v>8H</x:v>
      </x:c>
      <x:c r="E67" s="43" t="str">
        <x:v>Work Item</x:v>
      </x:c>
      <x:c r="F67" s="43" t="str">
        <x:v>Task</x:v>
      </x:c>
      <x:c r="G67" s="43" t="str">
        <x:v>Private media and answer no-leak tests</x:v>
      </x:c>
      <x:c r="H67" s="43" t="str">
        <x:v>Architecture &amp; Security</x:v>
      </x:c>
      <x:c r="I67" s="43" t="str">
        <x:v>Done with Debt</x:v>
      </x:c>
      <x:c r="J67" s="43" t="str">
        <x:v>CLOSED_WITH_ACCEPTED_DEBT</x:v>
      </x:c>
      <x:c r="K67" s="43" t="str">
        <x:v>Medium</x:v>
      </x:c>
      <x:c r="L67" s="43" t="str">
        <x:v>Informational</x:v>
      </x:c>
      <x:c r="M67" s="43" t="str">
        <x:v>Documented</x:v>
      </x:c>
      <x:c r="N67" s="43" t="str">
        <x:v>Optional-History</x:v>
      </x:c>
      <x:c r="O67" s="43" t="str"/>
      <x:c r="P67" s="43" t="str"/>
      <x:c r="Q67" s="43" t="str">
        <x:v>No cross-user/private-path/answer leakage.</x:v>
      </x:c>
      <x:c r="R67" s="43" t="str"/>
      <x:c r="S67" s="43" t="str"/>
      <x:c r="T67" s="43" t="str">
        <x:v>CODEX_PRACTICE_WORKFLOW.md §Phase 8H</x:v>
      </x:c>
      <x:c r="U67" s="43" t="str">
        <x:v>practice</x:v>
      </x:c>
      <x:c r="V67" s="43" t="str">
        <x:v>Practice Security</x:v>
      </x:c>
      <x:c r="W67" s="43" t="str"/>
      <x:c r="X67" s="43" t="str"/>
      <x:c r="Y67" s="43" t="str"/>
      <x:c r="Z67" s="43" t="str">
        <x:v>Historical / incremental debt</x:v>
      </x:c>
    </x:row>
    <x:row r="68" ht="58" customHeight="1">
      <x:c r="A68" s="43" t="str">
        <x:v>PRA-08H-T03</x:v>
      </x:c>
      <x:c r="B68" s="43" t="str">
        <x:v>PRA-08H</x:v>
      </x:c>
      <x:c r="C68" s="43" t="n">
        <x:v>8</x:v>
      </x:c>
      <x:c r="D68" s="43" t="str">
        <x:v>8H</x:v>
      </x:c>
      <x:c r="E68" s="43" t="str">
        <x:v>Work Item</x:v>
      </x:c>
      <x:c r="F68" s="43" t="str">
        <x:v>Task</x:v>
      </x:c>
      <x:c r="G68" s="43" t="str">
        <x:v>Incremental service decomposition debt</x:v>
      </x:c>
      <x:c r="H68" s="43" t="str">
        <x:v>Architecture &amp; Security</x:v>
      </x:c>
      <x:c r="I68" s="43" t="str">
        <x:v>Backlog</x:v>
      </x:c>
      <x:c r="J68" s="43" t="str">
        <x:v>PAY_WHEN_TOUCHED</x:v>
      </x:c>
      <x:c r="K68" s="43" t="str">
        <x:v>Medium</x:v>
      </x:c>
      <x:c r="L68" s="43" t="str">
        <x:v>Medium</x:v>
      </x:c>
      <x:c r="M68" s="43" t="str">
        <x:v>Documented</x:v>
      </x:c>
      <x:c r="N68" s="43" t="str">
        <x:v>Yes</x:v>
      </x:c>
      <x:c r="O68" s="43" t="str"/>
      <x:c r="P68" s="43" t="str"/>
      <x:c r="Q68" s="43" t="str">
        <x:v>Extract theo feature value; không big-bang refactor.</x:v>
      </x:c>
      <x:c r="R68" s="43" t="str"/>
      <x:c r="S68" s="43" t="str"/>
      <x:c r="T68" s="43" t="str">
        <x:v>CODEX_PRACTICE_WORKFLOW.md §Phase 8H</x:v>
      </x:c>
      <x:c r="U68" s="43" t="str">
        <x:v>practice</x:v>
      </x:c>
      <x:c r="V68" s="43" t="str">
        <x:v>Practice Security</x:v>
      </x:c>
      <x:c r="W68" s="43" t="str"/>
      <x:c r="X68" s="43" t="str"/>
      <x:c r="Y68" s="43" t="str"/>
      <x:c r="Z68" s="43" t="str">
        <x:v>Historical / incremental debt</x:v>
      </x:c>
    </x:row>
    <x:row r="69" ht="58" customHeight="1">
      <x:c r="A69" s="43" t="str">
        <x:v>PRA-09</x:v>
      </x:c>
      <x:c r="B69" s="43" t="str">
        <x:v>PRA-PROGRAM</x:v>
      </x:c>
      <x:c r="C69" s="43" t="n">
        <x:v>9</x:v>
      </x:c>
      <x:c r="D69" s="43" t="str">
        <x:v>9</x:v>
      </x:c>
      <x:c r="E69" s="43" t="str">
        <x:v>Epic</x:v>
      </x:c>
      <x:c r="F69" s="43" t="str">
        <x:v>Epic</x:v>
      </x:c>
      <x:c r="G69" s="43" t="str">
        <x:v>Immutable Published Practice Versions</x:v>
      </x:c>
      <x:c r="H69" s="43" t="str">
        <x:v>Publish &amp; Versioning</x:v>
      </x:c>
      <x:c r="I69" s="43" t="str">
        <x:v>Done with Debt</x:v>
      </x:c>
      <x:c r="J69" s="43" t="str">
        <x:v>CLOSED_WITH_ACCEPTED_DEBT</x:v>
      </x:c>
      <x:c r="K69" s="43" t="str">
        <x:v>Medium</x:v>
      </x:c>
      <x:c r="L69" s="43" t="str">
        <x:v>Informational</x:v>
      </x:c>
      <x:c r="M69" s="43" t="str">
        <x:v>High</x:v>
      </x:c>
      <x:c r="N69" s="43" t="str">
        <x:v>Optional-History</x:v>
      </x:c>
      <x:c r="O69" s="43" t="str"/>
      <x:c r="P69" s="43" t="str">
        <x:v>Append-only immutable set/test/section/group/question graph và attempt locks.</x:v>
      </x:c>
      <x:c r="Q69" s="43" t="str">
        <x:v>Old attempts render locked content; publish creates immutable graph; private paths không snapshot.</x:v>
      </x:c>
      <x:c r="R69" s="43" t="str"/>
      <x:c r="S69" s="43" t="str"/>
      <x:c r="T69" s="43" t="str">
        <x:v>CODEX_PRACTICE_WORKFLOW.md §Phase 9</x:v>
      </x:c>
      <x:c r="U69" s="43" t="str">
        <x:v>practice</x:v>
      </x:c>
      <x:c r="V69" s="43" t="str">
        <x:v>Practice Publish/Versioning</x:v>
      </x:c>
      <x:c r="W69" s="43" t="str"/>
      <x:c r="X69" s="43" t="str"/>
      <x:c r="Y69" s="43" t="str"/>
      <x:c r="Z69" s="43" t="str">
        <x:v>Historical / Phase 15 compatibility</x:v>
      </x:c>
    </x:row>
    <x:row r="70" ht="58" customHeight="1">
      <x:c r="A70" s="43" t="str">
        <x:v>PRA-09-A</x:v>
      </x:c>
      <x:c r="B70" s="43" t="str">
        <x:v>PRA-09</x:v>
      </x:c>
      <x:c r="C70" s="43" t="n">
        <x:v>9</x:v>
      </x:c>
      <x:c r="D70" s="43" t="str">
        <x:v>9</x:v>
      </x:c>
      <x:c r="E70" s="43" t="str">
        <x:v>Work Item</x:v>
      </x:c>
      <x:c r="F70" s="43" t="str">
        <x:v>Task</x:v>
      </x:c>
      <x:c r="G70" s="43" t="str">
        <x:v>Normalized immutable version schema</x:v>
      </x:c>
      <x:c r="H70" s="43" t="str">
        <x:v>Publish &amp; Versioning</x:v>
      </x:c>
      <x:c r="I70" s="43" t="str">
        <x:v>Done with Debt</x:v>
      </x:c>
      <x:c r="J70" s="43" t="str">
        <x:v>CLOSED_WITH_ACCEPTED_DEBT</x:v>
      </x:c>
      <x:c r="K70" s="43" t="str">
        <x:v>Medium</x:v>
      </x:c>
      <x:c r="L70" s="43" t="str">
        <x:v>Informational</x:v>
      </x:c>
      <x:c r="M70" s="43" t="str">
        <x:v>High</x:v>
      </x:c>
      <x:c r="N70" s="43" t="str">
        <x:v>Optional-History</x:v>
      </x:c>
      <x:c r="O70" s="43" t="str"/>
      <x:c r="P70" s="43" t="str"/>
      <x:c r="Q70" s="43" t="str">
        <x:v>Entities/repositories/schema append-only.</x:v>
      </x:c>
      <x:c r="R70" s="43" t="str"/>
      <x:c r="S70" s="43" t="str"/>
      <x:c r="T70" s="43" t="str">
        <x:v>CODEX_PRACTICE_WORKFLOW.md §Phase 9</x:v>
      </x:c>
      <x:c r="U70" s="43" t="str">
        <x:v>practice</x:v>
      </x:c>
      <x:c r="V70" s="43" t="str">
        <x:v>Practice Publish/Versioning</x:v>
      </x:c>
      <x:c r="W70" s="43" t="str"/>
      <x:c r="X70" s="43" t="str"/>
      <x:c r="Y70" s="43" t="str"/>
      <x:c r="Z70" s="43" t="str">
        <x:v>Historical / Phase 15 compatibility</x:v>
      </x:c>
    </x:row>
    <x:row r="71" ht="58" customHeight="1">
      <x:c r="A71" s="43" t="str">
        <x:v>PRA-09-B</x:v>
      </x:c>
      <x:c r="B71" s="43" t="str">
        <x:v>PRA-09</x:v>
      </x:c>
      <x:c r="C71" s="43" t="n">
        <x:v>9</x:v>
      </x:c>
      <x:c r="D71" s="43" t="str">
        <x:v>9</x:v>
      </x:c>
      <x:c r="E71" s="43" t="str">
        <x:v>Work Item</x:v>
      </x:c>
      <x:c r="F71" s="43" t="str">
        <x:v>Task</x:v>
      </x:c>
      <x:c r="G71" s="43" t="str">
        <x:v>Publish version graph and attempt locks</x:v>
      </x:c>
      <x:c r="H71" s="43" t="str">
        <x:v>Publish &amp; Versioning</x:v>
      </x:c>
      <x:c r="I71" s="43" t="str">
        <x:v>Done with Debt</x:v>
      </x:c>
      <x:c r="J71" s="43" t="str">
        <x:v>CLOSED_WITH_ACCEPTED_DEBT</x:v>
      </x:c>
      <x:c r="K71" s="43" t="str">
        <x:v>Medium</x:v>
      </x:c>
      <x:c r="L71" s="43" t="str">
        <x:v>Informational</x:v>
      </x:c>
      <x:c r="M71" s="43" t="str">
        <x:v>High</x:v>
      </x:c>
      <x:c r="N71" s="43" t="str">
        <x:v>Optional-History</x:v>
      </x:c>
      <x:c r="O71" s="43" t="str"/>
      <x:c r="P71" s="43" t="str"/>
      <x:c r="Q71" s="43" t="str">
        <x:v>New attempt locks published/set/test/section versions.</x:v>
      </x:c>
      <x:c r="R71" s="43" t="str"/>
      <x:c r="S71" s="43" t="str"/>
      <x:c r="T71" s="43" t="str">
        <x:v>CODEX_PRACTICE_WORKFLOW.md §Phase 9</x:v>
      </x:c>
      <x:c r="U71" s="43" t="str">
        <x:v>practice</x:v>
      </x:c>
      <x:c r="V71" s="43" t="str">
        <x:v>Practice Publish/Versioning</x:v>
      </x:c>
      <x:c r="W71" s="43" t="str"/>
      <x:c r="X71" s="43" t="str"/>
      <x:c r="Y71" s="43" t="str"/>
      <x:c r="Z71" s="43" t="str">
        <x:v>Historical / Phase 15 compatibility</x:v>
      </x:c>
    </x:row>
    <x:row r="72" ht="58" customHeight="1">
      <x:c r="A72" s="43" t="str">
        <x:v>PRA-09-C</x:v>
      </x:c>
      <x:c r="B72" s="43" t="str">
        <x:v>PRA-09</x:v>
      </x:c>
      <x:c r="C72" s="43" t="n">
        <x:v>9</x:v>
      </x:c>
      <x:c r="D72" s="43" t="str">
        <x:v>9</x:v>
      </x:c>
      <x:c r="E72" s="43" t="str">
        <x:v>Work Item</x:v>
      </x:c>
      <x:c r="F72" s="43" t="str">
        <x:v>Task</x:v>
      </x:c>
      <x:c r="G72" s="43" t="str">
        <x:v>Versioned scoring and result rendering</x:v>
      </x:c>
      <x:c r="H72" s="43" t="str">
        <x:v>Publish &amp; Versioning</x:v>
      </x:c>
      <x:c r="I72" s="43" t="str">
        <x:v>Done with Debt</x:v>
      </x:c>
      <x:c r="J72" s="43" t="str">
        <x:v>CLOSED_WITH_ACCEPTED_DEBT</x:v>
      </x:c>
      <x:c r="K72" s="43" t="str">
        <x:v>Medium</x:v>
      </x:c>
      <x:c r="L72" s="43" t="str">
        <x:v>Informational</x:v>
      </x:c>
      <x:c r="M72" s="43" t="str">
        <x:v>High</x:v>
      </x:c>
      <x:c r="N72" s="43" t="str">
        <x:v>Optional-History</x:v>
      </x:c>
      <x:c r="O72" s="43" t="str"/>
      <x:c r="P72" s="43" t="str"/>
      <x:c r="Q72" s="43" t="str">
        <x:v>Prompt/options/answer/points/explanation đọc từ question version.</x:v>
      </x:c>
      <x:c r="R72" s="43" t="str"/>
      <x:c r="S72" s="43" t="str"/>
      <x:c r="T72" s="43" t="str">
        <x:v>CODEX_PRACTICE_WORKFLOW.md §Phase 9</x:v>
      </x:c>
      <x:c r="U72" s="43" t="str">
        <x:v>practice</x:v>
      </x:c>
      <x:c r="V72" s="43" t="str">
        <x:v>Practice Publish/Versioning</x:v>
      </x:c>
      <x:c r="W72" s="43" t="str"/>
      <x:c r="X72" s="43" t="str"/>
      <x:c r="Y72" s="43" t="str"/>
      <x:c r="Z72" s="43" t="str">
        <x:v>Historical / Phase 15 compatibility</x:v>
      </x:c>
    </x:row>
    <x:row r="73" ht="58" customHeight="1">
      <x:c r="A73" s="43" t="str">
        <x:v>PRA-09-D</x:v>
      </x:c>
      <x:c r="B73" s="43" t="str">
        <x:v>PRA-09</x:v>
      </x:c>
      <x:c r="C73" s="43" t="n">
        <x:v>9</x:v>
      </x:c>
      <x:c r="D73" s="43" t="str">
        <x:v>9</x:v>
      </x:c>
      <x:c r="E73" s="43" t="str">
        <x:v>Work Item</x:v>
      </x:c>
      <x:c r="F73" s="43" t="str">
        <x:v>Task</x:v>
      </x:c>
      <x:c r="G73" s="43" t="str">
        <x:v>AI/rubric/prompt/media version compatibility</x:v>
      </x:c>
      <x:c r="H73" s="43" t="str">
        <x:v>Publish &amp; Versioning</x:v>
      </x:c>
      <x:c r="I73" s="43" t="str">
        <x:v>Done with Debt</x:v>
      </x:c>
      <x:c r="J73" s="43" t="str">
        <x:v>CLOSED_WITH_ACCEPTED_DEBT</x:v>
      </x:c>
      <x:c r="K73" s="43" t="str">
        <x:v>Medium</x:v>
      </x:c>
      <x:c r="L73" s="43" t="str">
        <x:v>Informational</x:v>
      </x:c>
      <x:c r="M73" s="43" t="str">
        <x:v>High</x:v>
      </x:c>
      <x:c r="N73" s="43" t="str">
        <x:v>Optional-History</x:v>
      </x:c>
      <x:c r="O73" s="43" t="str"/>
      <x:c r="P73" s="43" t="str"/>
      <x:c r="Q73" s="43" t="str">
        <x:v>Evaluation contract tied to version lock.</x:v>
      </x:c>
      <x:c r="R73" s="43" t="str"/>
      <x:c r="S73" s="43" t="str"/>
      <x:c r="T73" s="43" t="str">
        <x:v>CODEX_PRACTICE_WORKFLOW.md §Phase 9</x:v>
      </x:c>
      <x:c r="U73" s="43" t="str">
        <x:v>practice</x:v>
      </x:c>
      <x:c r="V73" s="43" t="str">
        <x:v>Practice Publish/Versioning</x:v>
      </x:c>
      <x:c r="W73" s="43" t="str"/>
      <x:c r="X73" s="43" t="str"/>
      <x:c r="Y73" s="43" t="str"/>
      <x:c r="Z73" s="43" t="str">
        <x:v>Historical / Phase 15 compatibility</x:v>
      </x:c>
    </x:row>
    <x:row r="74" ht="58" customHeight="1">
      <x:c r="A74" s="43" t="str">
        <x:v>PRA-09-E</x:v>
      </x:c>
      <x:c r="B74" s="43" t="str">
        <x:v>PRA-09</x:v>
      </x:c>
      <x:c r="C74" s="43" t="n">
        <x:v>9</x:v>
      </x:c>
      <x:c r="D74" s="43" t="str">
        <x:v>9</x:v>
      </x:c>
      <x:c r="E74" s="43" t="str">
        <x:v>Work Item</x:v>
      </x:c>
      <x:c r="F74" s="43" t="str">
        <x:v>Task</x:v>
      </x:c>
      <x:c r="G74" s="43" t="str">
        <x:v>Baseline migration and legacy compatibility</x:v>
      </x:c>
      <x:c r="H74" s="43" t="str">
        <x:v>Publish &amp; Versioning</x:v>
      </x:c>
      <x:c r="I74" s="43" t="str">
        <x:v>Done with Debt</x:v>
      </x:c>
      <x:c r="J74" s="43" t="str">
        <x:v>CLOSED_WITH_ACCEPTED_DEBT</x:v>
      </x:c>
      <x:c r="K74" s="43" t="str">
        <x:v>Medium</x:v>
      </x:c>
      <x:c r="L74" s="43" t="str">
        <x:v>Informational</x:v>
      </x:c>
      <x:c r="M74" s="43" t="str">
        <x:v>High</x:v>
      </x:c>
      <x:c r="N74" s="43" t="str">
        <x:v>Optional-History</x:v>
      </x:c>
      <x:c r="O74" s="43" t="str"/>
      <x:c r="P74" s="43" t="str"/>
      <x:c r="Q74" s="43" t="str">
        <x:v>Legacy reconstruction is explicit best-effort, never latest-version masquerade.</x:v>
      </x:c>
      <x:c r="R74" s="43" t="str"/>
      <x:c r="S74" s="43" t="str"/>
      <x:c r="T74" s="43" t="str">
        <x:v>CODEX_PRACTICE_WORKFLOW.md §Phase 9</x:v>
      </x:c>
      <x:c r="U74" s="43" t="str">
        <x:v>practice</x:v>
      </x:c>
      <x:c r="V74" s="43" t="str">
        <x:v>Practice Publish/Versioning</x:v>
      </x:c>
      <x:c r="W74" s="43" t="str"/>
      <x:c r="X74" s="43" t="str"/>
      <x:c r="Y74" s="43" t="str"/>
      <x:c r="Z74" s="43" t="str">
        <x:v>Historical / Phase 15 compatibility</x:v>
      </x:c>
    </x:row>
    <x:row r="75" ht="58" customHeight="1">
      <x:c r="A75" s="43" t="str">
        <x:v>PRA-09-F</x:v>
      </x:c>
      <x:c r="B75" s="43" t="str">
        <x:v>PRA-09</x:v>
      </x:c>
      <x:c r="C75" s="43" t="n">
        <x:v>9</x:v>
      </x:c>
      <x:c r="D75" s="43" t="str">
        <x:v>9</x:v>
      </x:c>
      <x:c r="E75" s="43" t="str">
        <x:v>Work Item</x:v>
      </x:c>
      <x:c r="F75" s="43" t="str">
        <x:v>Task</x:v>
      </x:c>
      <x:c r="G75" s="43" t="str">
        <x:v>Phase 9 closure gate</x:v>
      </x:c>
      <x:c r="H75" s="43" t="str">
        <x:v>Publish &amp; Versioning</x:v>
      </x:c>
      <x:c r="I75" s="43" t="str">
        <x:v>Done with Debt</x:v>
      </x:c>
      <x:c r="J75" s="43" t="str">
        <x:v>CLOSED_WITH_ACCEPTED_DEBT</x:v>
      </x:c>
      <x:c r="K75" s="43" t="str">
        <x:v>Medium</x:v>
      </x:c>
      <x:c r="L75" s="43" t="str">
        <x:v>Informational</x:v>
      </x:c>
      <x:c r="M75" s="43" t="str">
        <x:v>High</x:v>
      </x:c>
      <x:c r="N75" s="43" t="str">
        <x:v>Optional-History</x:v>
      </x:c>
      <x:c r="O75" s="43" t="str"/>
      <x:c r="P75" s="43" t="str"/>
      <x:c r="Q75" s="43" t="str">
        <x:v>Full-suite evidence và accepted debt ledger.</x:v>
      </x:c>
      <x:c r="R75" s="43" t="str"/>
      <x:c r="S75" s="43" t="str"/>
      <x:c r="T75" s="43" t="str">
        <x:v>CODEX_PRACTICE_WORKFLOW.md §Phase 9</x:v>
      </x:c>
      <x:c r="U75" s="43" t="str">
        <x:v>practice</x:v>
      </x:c>
      <x:c r="V75" s="43" t="str">
        <x:v>Practice Publish/Versioning</x:v>
      </x:c>
      <x:c r="W75" s="43" t="str"/>
      <x:c r="X75" s="43" t="str"/>
      <x:c r="Y75" s="43" t="str"/>
      <x:c r="Z75" s="43" t="str">
        <x:v>Historical / Phase 15 compatibility</x:v>
      </x:c>
    </x:row>
    <x:row r="76" ht="58" customHeight="1">
      <x:c r="A76" s="43" t="str">
        <x:v>PRA-09-G</x:v>
      </x:c>
      <x:c r="B76" s="43" t="str">
        <x:v>PRA-09</x:v>
      </x:c>
      <x:c r="C76" s="43" t="n">
        <x:v>9</x:v>
      </x:c>
      <x:c r="D76" s="43" t="str">
        <x:v>9</x:v>
      </x:c>
      <x:c r="E76" s="43" t="str">
        <x:v>Work Item</x:v>
      </x:c>
      <x:c r="F76" s="43" t="str">
        <x:v>Task</x:v>
      </x:c>
      <x:c r="G76" s="43" t="str">
        <x:v>Post-closure stabilization</x:v>
      </x:c>
      <x:c r="H76" s="43" t="str">
        <x:v>Publish &amp; Versioning</x:v>
      </x:c>
      <x:c r="I76" s="43" t="str">
        <x:v>Done with Debt</x:v>
      </x:c>
      <x:c r="J76" s="43" t="str">
        <x:v>CLOSED_WITH_ACCEPTED_DEBT</x:v>
      </x:c>
      <x:c r="K76" s="43" t="str">
        <x:v>Medium</x:v>
      </x:c>
      <x:c r="L76" s="43" t="str">
        <x:v>Informational</x:v>
      </x:c>
      <x:c r="M76" s="43" t="str">
        <x:v>High</x:v>
      </x:c>
      <x:c r="N76" s="43" t="str">
        <x:v>Optional-History</x:v>
      </x:c>
      <x:c r="O76" s="43" t="str"/>
      <x:c r="P76" s="43" t="str"/>
      <x:c r="Q76" s="43" t="str">
        <x:v>Reject ambiguous ungrouped; fail-closed hash; retry-safe audio; UTF-8 correction.</x:v>
      </x:c>
      <x:c r="R76" s="43" t="str"/>
      <x:c r="S76" s="43" t="str"/>
      <x:c r="T76" s="43" t="str">
        <x:v>CODEX_PRACTICE_WORKFLOW.md §Phase 9</x:v>
      </x:c>
      <x:c r="U76" s="43" t="str">
        <x:v>practice</x:v>
      </x:c>
      <x:c r="V76" s="43" t="str">
        <x:v>Practice Publish/Versioning</x:v>
      </x:c>
      <x:c r="W76" s="43" t="str"/>
      <x:c r="X76" s="43" t="str"/>
      <x:c r="Y76" s="43" t="str"/>
      <x:c r="Z76" s="43" t="str">
        <x:v>Historical / Phase 15 compatibility</x:v>
      </x:c>
    </x:row>
    <x:row r="77" ht="58" customHeight="1">
      <x:c r="A77" s="43" t="str">
        <x:v>PRA-10</x:v>
      </x:c>
      <x:c r="B77" s="43" t="str">
        <x:v>PRA-PROGRAM</x:v>
      </x:c>
      <x:c r="C77" s="43" t="n">
        <x:v>10</x:v>
      </x:c>
      <x:c r="D77" s="43" t="str">
        <x:v>10</x:v>
      </x:c>
      <x:c r="E77" s="43" t="str">
        <x:v>Epic</x:v>
      </x:c>
      <x:c r="F77" s="43" t="str">
        <x:v>Epic</x:v>
      </x:c>
      <x:c r="G77" s="43" t="str">
        <x:v>Assessment Foundation &amp; Deterministic Scoring</x:v>
      </x:c>
      <x:c r="H77" s="43" t="str">
        <x:v>Assessment Contract</x:v>
      </x:c>
      <x:c r="I77" s="43" t="str">
        <x:v>Done with Debt</x:v>
      </x:c>
      <x:c r="J77" s="43" t="str">
        <x:v>CLOSED_WITH_ACCEPTED_DEBT</x:v>
      </x:c>
      <x:c r="K77" s="43" t="str">
        <x:v>Medium</x:v>
      </x:c>
      <x:c r="L77" s="43" t="str">
        <x:v>Informational</x:v>
      </x:c>
      <x:c r="M77" s="43" t="str">
        <x:v>High</x:v>
      </x:c>
      <x:c r="N77" s="43" t="str">
        <x:v>Optional-History</x:v>
      </x:c>
      <x:c r="O77" s="43" t="str"/>
      <x:c r="P77" s="43" t="str">
        <x:v>Canonical question/answer/scoring contracts và immutable policy snapshot.</x:v>
      </x:c>
      <x:c r="Q77" s="43" t="str">
        <x:v>Typed deterministic scoring và fail-closed contracts.</x:v>
      </x:c>
      <x:c r="R77" s="43" t="str"/>
      <x:c r="S77" s="43" t="str"/>
      <x:c r="T77" s="43" t="str">
        <x:v>PRACTICE_PHASE_10_16_EXECUTION_BLUEPRINT.md §Phase 10</x:v>
      </x:c>
      <x:c r="U77" s="43" t="str">
        <x:v>practice</x:v>
      </x:c>
      <x:c r="V77" s="43" t="str">
        <x:v>Practice Scoring</x:v>
      </x:c>
      <x:c r="W77" s="43" t="str"/>
      <x:c r="X77" s="43" t="str"/>
      <x:c r="Y77" s="43" t="str"/>
      <x:c r="Z77" s="43" t="str">
        <x:v>Historical</x:v>
      </x:c>
    </x:row>
    <x:row r="78" ht="58" customHeight="1">
      <x:c r="A78" s="43" t="str">
        <x:v>PRA-10-A</x:v>
      </x:c>
      <x:c r="B78" s="43" t="str">
        <x:v>PRA-10</x:v>
      </x:c>
      <x:c r="C78" s="43" t="n">
        <x:v>10</x:v>
      </x:c>
      <x:c r="D78" s="43" t="str">
        <x:v>10</x:v>
      </x:c>
      <x:c r="E78" s="43" t="str">
        <x:v>Work Item</x:v>
      </x:c>
      <x:c r="F78" s="43" t="str">
        <x:v>Task</x:v>
      </x:c>
      <x:c r="G78" s="43" t="str">
        <x:v>Canonical vocabulary and compatibility resolver</x:v>
      </x:c>
      <x:c r="H78" s="43" t="str">
        <x:v>Assessment Contract</x:v>
      </x:c>
      <x:c r="I78" s="43" t="str">
        <x:v>Done with Debt</x:v>
      </x:c>
      <x:c r="J78" s="43" t="str">
        <x:v>CLOSED_WITH_ACCEPTED_DEBT</x:v>
      </x:c>
      <x:c r="K78" s="43" t="str">
        <x:v>Medium</x:v>
      </x:c>
      <x:c r="L78" s="43" t="str">
        <x:v>Informational</x:v>
      </x:c>
      <x:c r="M78" s="43" t="str">
        <x:v>High</x:v>
      </x:c>
      <x:c r="N78" s="43" t="str">
        <x:v>Optional-History</x:v>
      </x:c>
      <x:c r="O78" s="43" t="str"/>
      <x:c r="P78" s="43" t="str"/>
      <x:c r="Q78" s="43" t="str"/>
      <x:c r="R78" s="43" t="str"/>
      <x:c r="S78" s="43" t="str"/>
      <x:c r="T78" s="43" t="str">
        <x:v>PRACTICE_PHASE_10_16_EXECUTION_BLUEPRINT.md §Phase 10</x:v>
      </x:c>
      <x:c r="U78" s="43" t="str">
        <x:v>practice</x:v>
      </x:c>
      <x:c r="V78" s="43" t="str">
        <x:v>Practice Scoring</x:v>
      </x:c>
      <x:c r="W78" s="43" t="str"/>
      <x:c r="X78" s="43" t="str"/>
      <x:c r="Y78" s="43" t="str"/>
      <x:c r="Z78" s="43" t="str">
        <x:v>Historical</x:v>
      </x:c>
    </x:row>
    <x:row r="79" ht="58" customHeight="1">
      <x:c r="A79" s="43" t="str">
        <x:v>PRA-10-B</x:v>
      </x:c>
      <x:c r="B79" s="43" t="str">
        <x:v>PRA-10</x:v>
      </x:c>
      <x:c r="C79" s="43" t="n">
        <x:v>10</x:v>
      </x:c>
      <x:c r="D79" s="43" t="str">
        <x:v>10</x:v>
      </x:c>
      <x:c r="E79" s="43" t="str">
        <x:v>Work Item</x:v>
      </x:c>
      <x:c r="F79" s="43" t="str">
        <x:v>Task</x:v>
      </x:c>
      <x:c r="G79" s="43" t="str">
        <x:v>Question content, AnswerSpec and LearnerAnswer contracts</x:v>
      </x:c>
      <x:c r="H79" s="43" t="str">
        <x:v>Assessment Contract</x:v>
      </x:c>
      <x:c r="I79" s="43" t="str">
        <x:v>Done with Debt</x:v>
      </x:c>
      <x:c r="J79" s="43" t="str">
        <x:v>CLOSED_WITH_ACCEPTED_DEBT</x:v>
      </x:c>
      <x:c r="K79" s="43" t="str">
        <x:v>Medium</x:v>
      </x:c>
      <x:c r="L79" s="43" t="str">
        <x:v>Informational</x:v>
      </x:c>
      <x:c r="M79" s="43" t="str">
        <x:v>High</x:v>
      </x:c>
      <x:c r="N79" s="43" t="str">
        <x:v>Optional-History</x:v>
      </x:c>
      <x:c r="O79" s="43" t="str"/>
      <x:c r="P79" s="43" t="str"/>
      <x:c r="Q79" s="43" t="str"/>
      <x:c r="R79" s="43" t="str"/>
      <x:c r="S79" s="43" t="str"/>
      <x:c r="T79" s="43" t="str">
        <x:v>PRACTICE_PHASE_10_16_EXECUTION_BLUEPRINT.md §Phase 10</x:v>
      </x:c>
      <x:c r="U79" s="43" t="str">
        <x:v>practice</x:v>
      </x:c>
      <x:c r="V79" s="43" t="str">
        <x:v>Practice Scoring</x:v>
      </x:c>
      <x:c r="W79" s="43" t="str"/>
      <x:c r="X79" s="43" t="str"/>
      <x:c r="Y79" s="43" t="str"/>
      <x:c r="Z79" s="43" t="str">
        <x:v>Historical</x:v>
      </x:c>
    </x:row>
    <x:row r="80" ht="58" customHeight="1">
      <x:c r="A80" s="43" t="str">
        <x:v>PRA-10-C</x:v>
      </x:c>
      <x:c r="B80" s="43" t="str">
        <x:v>PRA-10</x:v>
      </x:c>
      <x:c r="C80" s="43" t="n">
        <x:v>10</x:v>
      </x:c>
      <x:c r="D80" s="43" t="str">
        <x:v>10</x:v>
      </x:c>
      <x:c r="E80" s="43" t="str">
        <x:v>Work Item</x:v>
      </x:c>
      <x:c r="F80" s="43" t="str">
        <x:v>Task</x:v>
      </x:c>
      <x:c r="G80" s="43" t="str">
        <x:v>Deterministic scoring engine</x:v>
      </x:c>
      <x:c r="H80" s="43" t="str">
        <x:v>Assessment Contract</x:v>
      </x:c>
      <x:c r="I80" s="43" t="str">
        <x:v>Done with Debt</x:v>
      </x:c>
      <x:c r="J80" s="43" t="str">
        <x:v>CLOSED_WITH_ACCEPTED_DEBT</x:v>
      </x:c>
      <x:c r="K80" s="43" t="str">
        <x:v>Medium</x:v>
      </x:c>
      <x:c r="L80" s="43" t="str">
        <x:v>Informational</x:v>
      </x:c>
      <x:c r="M80" s="43" t="str">
        <x:v>High</x:v>
      </x:c>
      <x:c r="N80" s="43" t="str">
        <x:v>Optional-History</x:v>
      </x:c>
      <x:c r="O80" s="43" t="str"/>
      <x:c r="P80" s="43" t="str"/>
      <x:c r="Q80" s="43" t="str"/>
      <x:c r="R80" s="43" t="str"/>
      <x:c r="S80" s="43" t="str"/>
      <x:c r="T80" s="43" t="str">
        <x:v>PRACTICE_PHASE_10_16_EXECUTION_BLUEPRINT.md §Phase 10</x:v>
      </x:c>
      <x:c r="U80" s="43" t="str">
        <x:v>practice</x:v>
      </x:c>
      <x:c r="V80" s="43" t="str">
        <x:v>Practice Scoring</x:v>
      </x:c>
      <x:c r="W80" s="43" t="str"/>
      <x:c r="X80" s="43" t="str"/>
      <x:c r="Y80" s="43" t="str"/>
      <x:c r="Z80" s="43" t="str">
        <x:v>Historical</x:v>
      </x:c>
    </x:row>
    <x:row r="81" ht="58" customHeight="1">
      <x:c r="A81" s="43" t="str">
        <x:v>PRA-10-D</x:v>
      </x:c>
      <x:c r="B81" s="43" t="str">
        <x:v>PRA-10</x:v>
      </x:c>
      <x:c r="C81" s="43" t="n">
        <x:v>10</x:v>
      </x:c>
      <x:c r="D81" s="43" t="str">
        <x:v>10</x:v>
      </x:c>
      <x:c r="E81" s="43" t="str">
        <x:v>Work Item</x:v>
      </x:c>
      <x:c r="F81" s="43" t="str">
        <x:v>Task</x:v>
      </x:c>
      <x:c r="G81" s="43" t="str">
        <x:v>Scoring, rubric and prompt profile persistence</x:v>
      </x:c>
      <x:c r="H81" s="43" t="str">
        <x:v>Assessment Contract</x:v>
      </x:c>
      <x:c r="I81" s="43" t="str">
        <x:v>Done with Debt</x:v>
      </x:c>
      <x:c r="J81" s="43" t="str">
        <x:v>CLOSED_WITH_ACCEPTED_DEBT</x:v>
      </x:c>
      <x:c r="K81" s="43" t="str">
        <x:v>Medium</x:v>
      </x:c>
      <x:c r="L81" s="43" t="str">
        <x:v>Informational</x:v>
      </x:c>
      <x:c r="M81" s="43" t="str">
        <x:v>High</x:v>
      </x:c>
      <x:c r="N81" s="43" t="str">
        <x:v>Optional-History</x:v>
      </x:c>
      <x:c r="O81" s="43" t="str"/>
      <x:c r="P81" s="43" t="str"/>
      <x:c r="Q81" s="43" t="str"/>
      <x:c r="R81" s="43" t="str"/>
      <x:c r="S81" s="43" t="str"/>
      <x:c r="T81" s="43" t="str">
        <x:v>PRACTICE_PHASE_10_16_EXECUTION_BLUEPRINT.md §Phase 10</x:v>
      </x:c>
      <x:c r="U81" s="43" t="str">
        <x:v>practice</x:v>
      </x:c>
      <x:c r="V81" s="43" t="str">
        <x:v>Practice Scoring</x:v>
      </x:c>
      <x:c r="W81" s="43" t="str"/>
      <x:c r="X81" s="43" t="str"/>
      <x:c r="Y81" s="43" t="str"/>
      <x:c r="Z81" s="43" t="str">
        <x:v>Historical</x:v>
      </x:c>
    </x:row>
    <x:row r="82" ht="58" customHeight="1">
      <x:c r="A82" s="43" t="str">
        <x:v>PRA-10-E</x:v>
      </x:c>
      <x:c r="B82" s="43" t="str">
        <x:v>PRA-10</x:v>
      </x:c>
      <x:c r="C82" s="43" t="n">
        <x:v>10</x:v>
      </x:c>
      <x:c r="D82" s="43" t="str">
        <x:v>10</x:v>
      </x:c>
      <x:c r="E82" s="43" t="str">
        <x:v>Work Item</x:v>
      </x:c>
      <x:c r="F82" s="43" t="str">
        <x:v>Task</x:v>
      </x:c>
      <x:c r="G82" s="43" t="str">
        <x:v>Live question and immutable snapshot expansion</x:v>
      </x:c>
      <x:c r="H82" s="43" t="str">
        <x:v>Assessment Contract</x:v>
      </x:c>
      <x:c r="I82" s="43" t="str">
        <x:v>Done with Debt</x:v>
      </x:c>
      <x:c r="J82" s="43" t="str">
        <x:v>CLOSED_WITH_ACCEPTED_DEBT</x:v>
      </x:c>
      <x:c r="K82" s="43" t="str">
        <x:v>Medium</x:v>
      </x:c>
      <x:c r="L82" s="43" t="str">
        <x:v>Informational</x:v>
      </x:c>
      <x:c r="M82" s="43" t="str">
        <x:v>High</x:v>
      </x:c>
      <x:c r="N82" s="43" t="str">
        <x:v>Optional-History</x:v>
      </x:c>
      <x:c r="O82" s="43" t="str"/>
      <x:c r="P82" s="43" t="str"/>
      <x:c r="Q82" s="43" t="str"/>
      <x:c r="R82" s="43" t="str"/>
      <x:c r="S82" s="43" t="str"/>
      <x:c r="T82" s="43" t="str">
        <x:v>PRACTICE_PHASE_10_16_EXECUTION_BLUEPRINT.md §Phase 10</x:v>
      </x:c>
      <x:c r="U82" s="43" t="str">
        <x:v>practice</x:v>
      </x:c>
      <x:c r="V82" s="43" t="str">
        <x:v>Practice Scoring</x:v>
      </x:c>
      <x:c r="W82" s="43" t="str"/>
      <x:c r="X82" s="43" t="str"/>
      <x:c r="Y82" s="43" t="str"/>
      <x:c r="Z82" s="43" t="str">
        <x:v>Historical</x:v>
      </x:c>
    </x:row>
    <x:row r="83" ht="58" customHeight="1">
      <x:c r="A83" s="43" t="str">
        <x:v>PRA-10-F</x:v>
      </x:c>
      <x:c r="B83" s="43" t="str">
        <x:v>PRA-10</x:v>
      </x:c>
      <x:c r="C83" s="43" t="n">
        <x:v>10</x:v>
      </x:c>
      <x:c r="D83" s="43" t="str">
        <x:v>10</x:v>
      </x:c>
      <x:c r="E83" s="43" t="str">
        <x:v>Work Item</x:v>
      </x:c>
      <x:c r="F83" s="43" t="str">
        <x:v>Task</x:v>
      </x:c>
      <x:c r="G83" s="43" t="str">
        <x:v>Practice grading integration</x:v>
      </x:c>
      <x:c r="H83" s="43" t="str">
        <x:v>Assessment Contract</x:v>
      </x:c>
      <x:c r="I83" s="43" t="str">
        <x:v>Done with Debt</x:v>
      </x:c>
      <x:c r="J83" s="43" t="str">
        <x:v>CLOSED_WITH_ACCEPTED_DEBT</x:v>
      </x:c>
      <x:c r="K83" s="43" t="str">
        <x:v>Medium</x:v>
      </x:c>
      <x:c r="L83" s="43" t="str">
        <x:v>Informational</x:v>
      </x:c>
      <x:c r="M83" s="43" t="str">
        <x:v>High</x:v>
      </x:c>
      <x:c r="N83" s="43" t="str">
        <x:v>Optional-History</x:v>
      </x:c>
      <x:c r="O83" s="43" t="str"/>
      <x:c r="P83" s="43" t="str"/>
      <x:c r="Q83" s="43" t="str"/>
      <x:c r="R83" s="43" t="str"/>
      <x:c r="S83" s="43" t="str"/>
      <x:c r="T83" s="43" t="str">
        <x:v>PRACTICE_PHASE_10_16_EXECUTION_BLUEPRINT.md §Phase 10</x:v>
      </x:c>
      <x:c r="U83" s="43" t="str">
        <x:v>practice</x:v>
      </x:c>
      <x:c r="V83" s="43" t="str">
        <x:v>Practice Scoring</x:v>
      </x:c>
      <x:c r="W83" s="43" t="str"/>
      <x:c r="X83" s="43" t="str"/>
      <x:c r="Y83" s="43" t="str"/>
      <x:c r="Z83" s="43" t="str">
        <x:v>Historical</x:v>
      </x:c>
    </x:row>
    <x:row r="84" ht="58" customHeight="1">
      <x:c r="A84" s="43" t="str">
        <x:v>PRA-10-G</x:v>
      </x:c>
      <x:c r="B84" s="43" t="str">
        <x:v>PRA-10</x:v>
      </x:c>
      <x:c r="C84" s="43" t="n">
        <x:v>10</x:v>
      </x:c>
      <x:c r="D84" s="43" t="str">
        <x:v>10</x:v>
      </x:c>
      <x:c r="E84" s="43" t="str">
        <x:v>Work Item</x:v>
      </x:c>
      <x:c r="F84" s="43" t="str">
        <x:v>Task</x:v>
      </x:c>
      <x:c r="G84" s="43" t="str">
        <x:v>Standardized Reading/Listening explanation contract</x:v>
      </x:c>
      <x:c r="H84" s="43" t="str">
        <x:v>Assessment Contract</x:v>
      </x:c>
      <x:c r="I84" s="43" t="str">
        <x:v>Done with Debt</x:v>
      </x:c>
      <x:c r="J84" s="43" t="str">
        <x:v>CLOSED_WITH_ACCEPTED_DEBT</x:v>
      </x:c>
      <x:c r="K84" s="43" t="str">
        <x:v>Medium</x:v>
      </x:c>
      <x:c r="L84" s="43" t="str">
        <x:v>Informational</x:v>
      </x:c>
      <x:c r="M84" s="43" t="str">
        <x:v>High</x:v>
      </x:c>
      <x:c r="N84" s="43" t="str">
        <x:v>Optional-History</x:v>
      </x:c>
      <x:c r="O84" s="43" t="str"/>
      <x:c r="P84" s="43" t="str"/>
      <x:c r="Q84" s="43" t="str"/>
      <x:c r="R84" s="43" t="str"/>
      <x:c r="S84" s="43" t="str"/>
      <x:c r="T84" s="43" t="str">
        <x:v>PRACTICE_PHASE_10_16_EXECUTION_BLUEPRINT.md §Phase 10</x:v>
      </x:c>
      <x:c r="U84" s="43" t="str">
        <x:v>practice</x:v>
      </x:c>
      <x:c r="V84" s="43" t="str">
        <x:v>Practice Scoring</x:v>
      </x:c>
      <x:c r="W84" s="43" t="str"/>
      <x:c r="X84" s="43" t="str"/>
      <x:c r="Y84" s="43" t="str"/>
      <x:c r="Z84" s="43" t="str">
        <x:v>Historical</x:v>
      </x:c>
    </x:row>
    <x:row r="85" ht="58" customHeight="1">
      <x:c r="A85" s="43" t="str">
        <x:v>PRA-10-H</x:v>
      </x:c>
      <x:c r="B85" s="43" t="str">
        <x:v>PRA-10</x:v>
      </x:c>
      <x:c r="C85" s="43" t="n">
        <x:v>10</x:v>
      </x:c>
      <x:c r="D85" s="43" t="str">
        <x:v>10</x:v>
      </x:c>
      <x:c r="E85" s="43" t="str">
        <x:v>Work Item</x:v>
      </x:c>
      <x:c r="F85" s="43" t="str">
        <x:v>Task</x:v>
      </x:c>
      <x:c r="G85" s="43" t="str">
        <x:v>Program policy integration and stabilization gate</x:v>
      </x:c>
      <x:c r="H85" s="43" t="str">
        <x:v>Assessment Contract</x:v>
      </x:c>
      <x:c r="I85" s="43" t="str">
        <x:v>Done with Debt</x:v>
      </x:c>
      <x:c r="J85" s="43" t="str">
        <x:v>CLOSED_WITH_ACCEPTED_DEBT</x:v>
      </x:c>
      <x:c r="K85" s="43" t="str">
        <x:v>Medium</x:v>
      </x:c>
      <x:c r="L85" s="43" t="str">
        <x:v>Informational</x:v>
      </x:c>
      <x:c r="M85" s="43" t="str">
        <x:v>High</x:v>
      </x:c>
      <x:c r="N85" s="43" t="str">
        <x:v>Optional-History</x:v>
      </x:c>
      <x:c r="O85" s="43" t="str"/>
      <x:c r="P85" s="43" t="str"/>
      <x:c r="Q85" s="43" t="str"/>
      <x:c r="R85" s="43" t="str"/>
      <x:c r="S85" s="43" t="str"/>
      <x:c r="T85" s="43" t="str">
        <x:v>PRACTICE_PHASE_10_16_EXECUTION_BLUEPRINT.md §Phase 10</x:v>
      </x:c>
      <x:c r="U85" s="43" t="str">
        <x:v>practice</x:v>
      </x:c>
      <x:c r="V85" s="43" t="str">
        <x:v>Practice Scoring</x:v>
      </x:c>
      <x:c r="W85" s="43" t="str"/>
      <x:c r="X85" s="43" t="str"/>
      <x:c r="Y85" s="43" t="str"/>
      <x:c r="Z85" s="43" t="str">
        <x:v>Historical</x:v>
      </x:c>
    </x:row>
    <x:row r="86" ht="58" customHeight="1">
      <x:c r="A86" s="43" t="str">
        <x:v>PRA-11</x:v>
      </x:c>
      <x:c r="B86" s="43" t="str">
        <x:v>PRA-PROGRAM</x:v>
      </x:c>
      <x:c r="C86" s="43" t="n">
        <x:v>11</x:v>
      </x:c>
      <x:c r="D86" s="43" t="str">
        <x:v>11</x:v>
      </x:c>
      <x:c r="E86" s="43" t="str">
        <x:v>Epic</x:v>
      </x:c>
      <x:c r="F86" s="43" t="str">
        <x:v>Epic</x:v>
      </x:c>
      <x:c r="G86" s="43" t="str">
        <x:v>Lecturer Authoring &amp; Import</x:v>
      </x:c>
      <x:c r="H86" s="43" t="str">
        <x:v>Authoring &amp; Import</x:v>
      </x:c>
      <x:c r="I86" s="43" t="str">
        <x:v>Done with Debt</x:v>
      </x:c>
      <x:c r="J86" s="43" t="str">
        <x:v>CLOSED_WITH_ACCEPTED_DEBT</x:v>
      </x:c>
      <x:c r="K86" s="43" t="str">
        <x:v>Medium</x:v>
      </x:c>
      <x:c r="L86" s="43" t="str">
        <x:v>Informational</x:v>
      </x:c>
      <x:c r="M86" s="43" t="str">
        <x:v>High</x:v>
      </x:c>
      <x:c r="N86" s="43" t="str">
        <x:v>Optional-History</x:v>
      </x:c>
      <x:c r="O86" s="43" t="str"/>
      <x:c r="P86" s="43" t="str">
        <x:v>Canonical draft/editor, Excel, PDF, publish và learner-safe preview.</x:v>
      </x:c>
      <x:c r="Q86" s="43" t="str">
        <x:v>Authoring/import foundation hoàn tất; governance/material/release debt routed.</x:v>
      </x:c>
      <x:c r="R86" s="43" t="str"/>
      <x:c r="S86" s="43" t="str"/>
      <x:c r="T86" s="43" t="str">
        <x:v>PRACTICE_PHASE_10_16_EXECUTION_BLUEPRINT.md §Phase 11</x:v>
      </x:c>
      <x:c r="U86" s="43" t="str">
        <x:v>practice</x:v>
      </x:c>
      <x:c r="V86" s="43" t="str">
        <x:v>Practice Authoring/Import</x:v>
      </x:c>
      <x:c r="W86" s="43" t="str"/>
      <x:c r="X86" s="43" t="str"/>
      <x:c r="Y86" s="43" t="str"/>
      <x:c r="Z86" s="43" t="str">
        <x:v>Historical</x:v>
      </x:c>
    </x:row>
    <x:row r="87" ht="58" customHeight="1">
      <x:c r="A87" s="43" t="str">
        <x:v>PRA-11-A</x:v>
      </x:c>
      <x:c r="B87" s="43" t="str">
        <x:v>PRA-11</x:v>
      </x:c>
      <x:c r="C87" s="43" t="n">
        <x:v>11</x:v>
      </x:c>
      <x:c r="D87" s="43" t="str">
        <x:v>11</x:v>
      </x:c>
      <x:c r="E87" s="43" t="str">
        <x:v>Work Item</x:v>
      </x:c>
      <x:c r="F87" s="43" t="str">
        <x:v>Task</x:v>
      </x:c>
      <x:c r="G87" s="43" t="str">
        <x:v>Canonical draft-v3, stimulus and score contract</x:v>
      </x:c>
      <x:c r="H87" s="43" t="str">
        <x:v>Authoring &amp; Import</x:v>
      </x:c>
      <x:c r="I87" s="43" t="str">
        <x:v>Done with Debt</x:v>
      </x:c>
      <x:c r="J87" s="43" t="str">
        <x:v>CLOSED_WITH_ACCEPTED_DEBT</x:v>
      </x:c>
      <x:c r="K87" s="43" t="str">
        <x:v>Medium</x:v>
      </x:c>
      <x:c r="L87" s="43" t="str">
        <x:v>Informational</x:v>
      </x:c>
      <x:c r="M87" s="43" t="str">
        <x:v>High</x:v>
      </x:c>
      <x:c r="N87" s="43" t="str">
        <x:v>Optional-History</x:v>
      </x:c>
      <x:c r="O87" s="43" t="str"/>
      <x:c r="P87" s="43" t="str"/>
      <x:c r="Q87" s="43" t="str"/>
      <x:c r="R87" s="43" t="str"/>
      <x:c r="S87" s="43" t="str"/>
      <x:c r="T87" s="43" t="str">
        <x:v>PRACTICE_PHASE_10_16_EXECUTION_BLUEPRINT.md §Phase 11</x:v>
      </x:c>
      <x:c r="U87" s="43" t="str">
        <x:v>practice</x:v>
      </x:c>
      <x:c r="V87" s="43" t="str">
        <x:v>Practice Authoring/Import</x:v>
      </x:c>
      <x:c r="W87" s="43" t="str"/>
      <x:c r="X87" s="43" t="str"/>
      <x:c r="Y87" s="43" t="str"/>
      <x:c r="Z87" s="43" t="str">
        <x:v>Historical</x:v>
      </x:c>
    </x:row>
    <x:row r="88" ht="58" customHeight="1">
      <x:c r="A88" s="43" t="str">
        <x:v>PRA-11-B</x:v>
      </x:c>
      <x:c r="B88" s="43" t="str">
        <x:v>PRA-11</x:v>
      </x:c>
      <x:c r="C88" s="43" t="n">
        <x:v>11</x:v>
      </x:c>
      <x:c r="D88" s="43" t="str">
        <x:v>11</x:v>
      </x:c>
      <x:c r="E88" s="43" t="str">
        <x:v>Work Item</x:v>
      </x:c>
      <x:c r="F88" s="43" t="str">
        <x:v>Task</x:v>
      </x:c>
      <x:c r="G88" s="43" t="str">
        <x:v>Set/Test/Skill/Group hierarchy authoring</x:v>
      </x:c>
      <x:c r="H88" s="43" t="str">
        <x:v>Authoring &amp; Import</x:v>
      </x:c>
      <x:c r="I88" s="43" t="str">
        <x:v>Done with Debt</x:v>
      </x:c>
      <x:c r="J88" s="43" t="str">
        <x:v>CLOSED_WITH_ACCEPTED_DEBT</x:v>
      </x:c>
      <x:c r="K88" s="43" t="str">
        <x:v>Medium</x:v>
      </x:c>
      <x:c r="L88" s="43" t="str">
        <x:v>Informational</x:v>
      </x:c>
      <x:c r="M88" s="43" t="str">
        <x:v>High</x:v>
      </x:c>
      <x:c r="N88" s="43" t="str">
        <x:v>Optional-History</x:v>
      </x:c>
      <x:c r="O88" s="43" t="str"/>
      <x:c r="P88" s="43" t="str"/>
      <x:c r="Q88" s="43" t="str"/>
      <x:c r="R88" s="43" t="str"/>
      <x:c r="S88" s="43" t="str"/>
      <x:c r="T88" s="43" t="str">
        <x:v>PRACTICE_PHASE_10_16_EXECUTION_BLUEPRINT.md §Phase 11</x:v>
      </x:c>
      <x:c r="U88" s="43" t="str">
        <x:v>practice</x:v>
      </x:c>
      <x:c r="V88" s="43" t="str">
        <x:v>Practice Authoring/Import</x:v>
      </x:c>
      <x:c r="W88" s="43" t="str"/>
      <x:c r="X88" s="43" t="str"/>
      <x:c r="Y88" s="43" t="str"/>
      <x:c r="Z88" s="43" t="str">
        <x:v>Historical</x:v>
      </x:c>
    </x:row>
    <x:row r="89" ht="58" customHeight="1">
      <x:c r="A89" s="43" t="str">
        <x:v>PRA-11-C</x:v>
      </x:c>
      <x:c r="B89" s="43" t="str">
        <x:v>PRA-11</x:v>
      </x:c>
      <x:c r="C89" s="43" t="n">
        <x:v>11</x:v>
      </x:c>
      <x:c r="D89" s="43" t="str">
        <x:v>11</x:v>
      </x:c>
      <x:c r="E89" s="43" t="str">
        <x:v>Work Item</x:v>
      </x:c>
      <x:c r="F89" s="43" t="str">
        <x:v>Task</x:v>
      </x:c>
      <x:c r="G89" s="43" t="str">
        <x:v>Policy-driven typed editors</x:v>
      </x:c>
      <x:c r="H89" s="43" t="str">
        <x:v>Authoring &amp; Import</x:v>
      </x:c>
      <x:c r="I89" s="43" t="str">
        <x:v>Done with Debt</x:v>
      </x:c>
      <x:c r="J89" s="43" t="str">
        <x:v>CLOSED_WITH_ACCEPTED_DEBT</x:v>
      </x:c>
      <x:c r="K89" s="43" t="str">
        <x:v>Medium</x:v>
      </x:c>
      <x:c r="L89" s="43" t="str">
        <x:v>Informational</x:v>
      </x:c>
      <x:c r="M89" s="43" t="str">
        <x:v>High</x:v>
      </x:c>
      <x:c r="N89" s="43" t="str">
        <x:v>Optional-History</x:v>
      </x:c>
      <x:c r="O89" s="43" t="str"/>
      <x:c r="P89" s="43" t="str"/>
      <x:c r="Q89" s="43" t="str"/>
      <x:c r="R89" s="43" t="str"/>
      <x:c r="S89" s="43" t="str"/>
      <x:c r="T89" s="43" t="str">
        <x:v>PRACTICE_PHASE_10_16_EXECUTION_BLUEPRINT.md §Phase 11</x:v>
      </x:c>
      <x:c r="U89" s="43" t="str">
        <x:v>practice</x:v>
      </x:c>
      <x:c r="V89" s="43" t="str">
        <x:v>Practice Authoring/Import</x:v>
      </x:c>
      <x:c r="W89" s="43" t="str"/>
      <x:c r="X89" s="43" t="str"/>
      <x:c r="Y89" s="43" t="str"/>
      <x:c r="Z89" s="43" t="str">
        <x:v>Historical</x:v>
      </x:c>
    </x:row>
    <x:row r="90" ht="58" customHeight="1">
      <x:c r="A90" s="43" t="str">
        <x:v>PRA-11-D</x:v>
      </x:c>
      <x:c r="B90" s="43" t="str">
        <x:v>PRA-11</x:v>
      </x:c>
      <x:c r="C90" s="43" t="n">
        <x:v>11</x:v>
      </x:c>
      <x:c r="D90" s="43" t="str">
        <x:v>11</x:v>
      </x:c>
      <x:c r="E90" s="43" t="str">
        <x:v>Work Item</x:v>
      </x:c>
      <x:c r="F90" s="43" t="str">
        <x:v>Task</x:v>
      </x:c>
      <x:c r="G90" s="43" t="str">
        <x:v>Safe learner/teacher preview</x:v>
      </x:c>
      <x:c r="H90" s="43" t="str">
        <x:v>Authoring &amp; Import</x:v>
      </x:c>
      <x:c r="I90" s="43" t="str">
        <x:v>Done with Debt</x:v>
      </x:c>
      <x:c r="J90" s="43" t="str">
        <x:v>CLOSED_WITH_ACCEPTED_DEBT</x:v>
      </x:c>
      <x:c r="K90" s="43" t="str">
        <x:v>Medium</x:v>
      </x:c>
      <x:c r="L90" s="43" t="str">
        <x:v>Informational</x:v>
      </x:c>
      <x:c r="M90" s="43" t="str">
        <x:v>High</x:v>
      </x:c>
      <x:c r="N90" s="43" t="str">
        <x:v>Optional-History</x:v>
      </x:c>
      <x:c r="O90" s="43" t="str"/>
      <x:c r="P90" s="43" t="str"/>
      <x:c r="Q90" s="43" t="str"/>
      <x:c r="R90" s="43" t="str"/>
      <x:c r="S90" s="43" t="str"/>
      <x:c r="T90" s="43" t="str">
        <x:v>PRACTICE_PHASE_10_16_EXECUTION_BLUEPRINT.md §Phase 11</x:v>
      </x:c>
      <x:c r="U90" s="43" t="str">
        <x:v>practice</x:v>
      </x:c>
      <x:c r="V90" s="43" t="str">
        <x:v>Practice Authoring/Import</x:v>
      </x:c>
      <x:c r="W90" s="43" t="str"/>
      <x:c r="X90" s="43" t="str"/>
      <x:c r="Y90" s="43" t="str"/>
      <x:c r="Z90" s="43" t="str">
        <x:v>Historical</x:v>
      </x:c>
    </x:row>
    <x:row r="91" ht="58" customHeight="1">
      <x:c r="A91" s="43" t="str">
        <x:v>PRA-11-E</x:v>
      </x:c>
      <x:c r="B91" s="43" t="str">
        <x:v>PRA-11</x:v>
      </x:c>
      <x:c r="C91" s="43" t="n">
        <x:v>11</x:v>
      </x:c>
      <x:c r="D91" s="43" t="str">
        <x:v>11</x:v>
      </x:c>
      <x:c r="E91" s="43" t="str">
        <x:v>Work Item</x:v>
      </x:c>
      <x:c r="F91" s="43" t="str">
        <x:v>Task</x:v>
      </x:c>
      <x:c r="G91" s="43" t="str">
        <x:v>All-skill Excel v2 import and preview</x:v>
      </x:c>
      <x:c r="H91" s="43" t="str">
        <x:v>Authoring &amp; Import</x:v>
      </x:c>
      <x:c r="I91" s="43" t="str">
        <x:v>Done with Debt</x:v>
      </x:c>
      <x:c r="J91" s="43" t="str">
        <x:v>CLOSED_WITH_ACCEPTED_DEBT</x:v>
      </x:c>
      <x:c r="K91" s="43" t="str">
        <x:v>Medium</x:v>
      </x:c>
      <x:c r="L91" s="43" t="str">
        <x:v>Informational</x:v>
      </x:c>
      <x:c r="M91" s="43" t="str">
        <x:v>High</x:v>
      </x:c>
      <x:c r="N91" s="43" t="str">
        <x:v>Optional-History</x:v>
      </x:c>
      <x:c r="O91" s="43" t="str"/>
      <x:c r="P91" s="43" t="str"/>
      <x:c r="Q91" s="43" t="str"/>
      <x:c r="R91" s="43" t="str"/>
      <x:c r="S91" s="43" t="str"/>
      <x:c r="T91" s="43" t="str">
        <x:v>PRACTICE_PHASE_10_16_EXECUTION_BLUEPRINT.md §Phase 11</x:v>
      </x:c>
      <x:c r="U91" s="43" t="str">
        <x:v>practice</x:v>
      </x:c>
      <x:c r="V91" s="43" t="str">
        <x:v>Practice Authoring/Import</x:v>
      </x:c>
      <x:c r="W91" s="43" t="str"/>
      <x:c r="X91" s="43" t="str"/>
      <x:c r="Y91" s="43" t="str"/>
      <x:c r="Z91" s="43" t="str">
        <x:v>Historical</x:v>
      </x:c>
    </x:row>
    <x:row r="92" ht="58" customHeight="1">
      <x:c r="A92" s="43" t="str">
        <x:v>PRA-11-F</x:v>
      </x:c>
      <x:c r="B92" s="43" t="str">
        <x:v>PRA-11</x:v>
      </x:c>
      <x:c r="C92" s="43" t="n">
        <x:v>11</x:v>
      </x:c>
      <x:c r="D92" s="43" t="str">
        <x:v>11</x:v>
      </x:c>
      <x:c r="E92" s="43" t="str">
        <x:v>Work Item</x:v>
      </x:c>
      <x:c r="F92" s="43" t="str">
        <x:v>Task</x:v>
      </x:c>
      <x:c r="G92" s="43" t="str">
        <x:v>Guided/canonical PDF workspace</x:v>
      </x:c>
      <x:c r="H92" s="43" t="str">
        <x:v>Authoring &amp; Import</x:v>
      </x:c>
      <x:c r="I92" s="43" t="str">
        <x:v>Done with Debt</x:v>
      </x:c>
      <x:c r="J92" s="43" t="str">
        <x:v>CLOSED_WITH_ACCEPTED_DEBT</x:v>
      </x:c>
      <x:c r="K92" s="43" t="str">
        <x:v>Medium</x:v>
      </x:c>
      <x:c r="L92" s="43" t="str">
        <x:v>Informational</x:v>
      </x:c>
      <x:c r="M92" s="43" t="str">
        <x:v>High</x:v>
      </x:c>
      <x:c r="N92" s="43" t="str">
        <x:v>Optional-History</x:v>
      </x:c>
      <x:c r="O92" s="43" t="str"/>
      <x:c r="P92" s="43" t="str"/>
      <x:c r="Q92" s="43" t="str"/>
      <x:c r="R92" s="43" t="str"/>
      <x:c r="S92" s="43" t="str"/>
      <x:c r="T92" s="43" t="str">
        <x:v>PRACTICE_PHASE_10_16_EXECUTION_BLUEPRINT.md §Phase 11</x:v>
      </x:c>
      <x:c r="U92" s="43" t="str">
        <x:v>practice</x:v>
      </x:c>
      <x:c r="V92" s="43" t="str">
        <x:v>Practice Authoring/Import</x:v>
      </x:c>
      <x:c r="W92" s="43" t="str"/>
      <x:c r="X92" s="43" t="str"/>
      <x:c r="Y92" s="43" t="str"/>
      <x:c r="Z92" s="43" t="str">
        <x:v>Historical</x:v>
      </x:c>
    </x:row>
    <x:row r="93" ht="58" customHeight="1">
      <x:c r="A93" s="43" t="str">
        <x:v>PRA-11-G</x:v>
      </x:c>
      <x:c r="B93" s="43" t="str">
        <x:v>PRA-11</x:v>
      </x:c>
      <x:c r="C93" s="43" t="n">
        <x:v>11</x:v>
      </x:c>
      <x:c r="D93" s="43" t="str">
        <x:v>11</x:v>
      </x:c>
      <x:c r="E93" s="43" t="str">
        <x:v>Work Item</x:v>
      </x:c>
      <x:c r="F93" s="43" t="str">
        <x:v>Task</x:v>
      </x:c>
      <x:c r="G93" s="43" t="str">
        <x:v>Publish binding, assets and confidence gates</x:v>
      </x:c>
      <x:c r="H93" s="43" t="str">
        <x:v>Authoring &amp; Import</x:v>
      </x:c>
      <x:c r="I93" s="43" t="str">
        <x:v>Done with Debt</x:v>
      </x:c>
      <x:c r="J93" s="43" t="str">
        <x:v>CLOSED_WITH_ACCEPTED_DEBT</x:v>
      </x:c>
      <x:c r="K93" s="43" t="str">
        <x:v>Medium</x:v>
      </x:c>
      <x:c r="L93" s="43" t="str">
        <x:v>Informational</x:v>
      </x:c>
      <x:c r="M93" s="43" t="str">
        <x:v>High</x:v>
      </x:c>
      <x:c r="N93" s="43" t="str">
        <x:v>Optional-History</x:v>
      </x:c>
      <x:c r="O93" s="43" t="str"/>
      <x:c r="P93" s="43" t="str"/>
      <x:c r="Q93" s="43" t="str"/>
      <x:c r="R93" s="43" t="str"/>
      <x:c r="S93" s="43" t="str"/>
      <x:c r="T93" s="43" t="str">
        <x:v>PRACTICE_PHASE_10_16_EXECUTION_BLUEPRINT.md §Phase 11</x:v>
      </x:c>
      <x:c r="U93" s="43" t="str">
        <x:v>practice</x:v>
      </x:c>
      <x:c r="V93" s="43" t="str">
        <x:v>Practice Authoring/Import</x:v>
      </x:c>
      <x:c r="W93" s="43" t="str"/>
      <x:c r="X93" s="43" t="str"/>
      <x:c r="Y93" s="43" t="str"/>
      <x:c r="Z93" s="43" t="str">
        <x:v>Historical</x:v>
      </x:c>
    </x:row>
    <x:row r="94" ht="58" customHeight="1">
      <x:c r="A94" s="43" t="str">
        <x:v>PRA-11-H</x:v>
      </x:c>
      <x:c r="B94" s="43" t="str">
        <x:v>PRA-11</x:v>
      </x:c>
      <x:c r="C94" s="43" t="n">
        <x:v>11</x:v>
      </x:c>
      <x:c r="D94" s="43" t="str">
        <x:v>11</x:v>
      </x:c>
      <x:c r="E94" s="43" t="str">
        <x:v>Work Item</x:v>
      </x:c>
      <x:c r="F94" s="43" t="str">
        <x:v>Task</x:v>
      </x:c>
      <x:c r="G94" s="43" t="str">
        <x:v>Closure stabilization, full suite and browser QA</x:v>
      </x:c>
      <x:c r="H94" s="43" t="str">
        <x:v>Authoring &amp; Import</x:v>
      </x:c>
      <x:c r="I94" s="43" t="str">
        <x:v>Done with Debt</x:v>
      </x:c>
      <x:c r="J94" s="43" t="str">
        <x:v>CLOSED_WITH_ACCEPTED_DEBT</x:v>
      </x:c>
      <x:c r="K94" s="43" t="str">
        <x:v>Medium</x:v>
      </x:c>
      <x:c r="L94" s="43" t="str">
        <x:v>Informational</x:v>
      </x:c>
      <x:c r="M94" s="43" t="str">
        <x:v>High</x:v>
      </x:c>
      <x:c r="N94" s="43" t="str">
        <x:v>Optional-History</x:v>
      </x:c>
      <x:c r="O94" s="43" t="str"/>
      <x:c r="P94" s="43" t="str"/>
      <x:c r="Q94" s="43" t="str"/>
      <x:c r="R94" s="43" t="str"/>
      <x:c r="S94" s="43" t="str"/>
      <x:c r="T94" s="43" t="str">
        <x:v>PRACTICE_PHASE_10_16_EXECUTION_BLUEPRINT.md §Phase 11</x:v>
      </x:c>
      <x:c r="U94" s="43" t="str">
        <x:v>practice</x:v>
      </x:c>
      <x:c r="V94" s="43" t="str">
        <x:v>Practice Authoring/Import</x:v>
      </x:c>
      <x:c r="W94" s="43" t="str"/>
      <x:c r="X94" s="43" t="str"/>
      <x:c r="Y94" s="43" t="str"/>
      <x:c r="Z94" s="43" t="str">
        <x:v>Historical</x:v>
      </x:c>
    </x:row>
    <x:row r="95" ht="58" customHeight="1">
      <x:c r="A95" s="43" t="str">
        <x:v>PRA-12R</x:v>
      </x:c>
      <x:c r="B95" s="43" t="str">
        <x:v>PRA-PROGRAM</x:v>
      </x:c>
      <x:c r="C95" s="43" t="n">
        <x:v>12</x:v>
      </x:c>
      <x:c r="D95" s="43" t="str">
        <x:v>12R</x:v>
      </x:c>
      <x:c r="E95" s="43" t="str">
        <x:v>Epic</x:v>
      </x:c>
      <x:c r="F95" s="43" t="str">
        <x:v>Epic</x:v>
      </x:c>
      <x:c r="G95" s="43" t="str">
        <x:v>Materials, Security &amp; Single-Scope Reduction</x:v>
      </x:c>
      <x:c r="H95" s="43" t="str">
        <x:v>Governance &amp; Reduction</x:v>
      </x:c>
      <x:c r="I95" s="43" t="str">
        <x:v>Done with Debt</x:v>
      </x:c>
      <x:c r="J95" s="43" t="str">
        <x:v>PRACTICE_CODE_GATE_GREEN_BROWSER_QA_SKIPPED</x:v>
      </x:c>
      <x:c r="K95" s="43" t="str">
        <x:v>Medium</x:v>
      </x:c>
      <x:c r="L95" s="43" t="str">
        <x:v>Informational</x:v>
      </x:c>
      <x:c r="M95" s="43" t="str">
        <x:v>High</x:v>
      </x:c>
      <x:c r="N95" s="43" t="str">
        <x:v>Optional-History</x:v>
      </x:c>
      <x:c r="O95" s="43" t="str"/>
      <x:c r="P95" s="43" t="str">
        <x:v>Private materials, lifecycle/security và loại generic program/certificate governance khỏi scope.</x:v>
      </x:c>
      <x:c r="Q95" s="43" t="str">
        <x:v>Single KSH practice scope; browser/product gate không được claim xanh.</x:v>
      </x:c>
      <x:c r="R95" s="43" t="str"/>
      <x:c r="S95" s="43" t="str"/>
      <x:c r="T95" s="43" t="str">
        <x:v>docs/PRACTICE_SINGLE_SCOPE_REDUCTION_AUDIT.md</x:v>
      </x:c>
      <x:c r="U95" s="43" t="str">
        <x:v>practice</x:v>
      </x:c>
      <x:c r="V95" s="43" t="str">
        <x:v>Practice Security</x:v>
      </x:c>
      <x:c r="W95" s="43" t="str"/>
      <x:c r="X95" s="43" t="str"/>
      <x:c r="Y95" s="43" t="str"/>
      <x:c r="Z95" s="43" t="str">
        <x:v>Historical / Phase 15 debt</x:v>
      </x:c>
    </x:row>
    <x:row r="96" ht="58" customHeight="1">
      <x:c r="A96" s="43" t="str">
        <x:v>PRA-12R-1</x:v>
      </x:c>
      <x:c r="B96" s="43" t="str">
        <x:v>PRA-12R</x:v>
      </x:c>
      <x:c r="C96" s="43" t="n">
        <x:v>12</x:v>
      </x:c>
      <x:c r="D96" s="43" t="str">
        <x:v>12R</x:v>
      </x:c>
      <x:c r="E96" s="43" t="str">
        <x:v>Work Item</x:v>
      </x:c>
      <x:c r="F96" s="43" t="str">
        <x:v>Task</x:v>
      </x:c>
      <x:c r="G96" s="43" t="str">
        <x:v>Freeze single-scope product contract</x:v>
      </x:c>
      <x:c r="H96" s="43" t="str">
        <x:v>Governance &amp; Reduction</x:v>
      </x:c>
      <x:c r="I96" s="43" t="str">
        <x:v>Done with Debt</x:v>
      </x:c>
      <x:c r="J96" s="43" t="str">
        <x:v>PRACTICE_CODE_GATE_GREEN_BROWSER_QA_SKIPPED</x:v>
      </x:c>
      <x:c r="K96" s="43" t="str">
        <x:v>Medium</x:v>
      </x:c>
      <x:c r="L96" s="43" t="str">
        <x:v>Informational</x:v>
      </x:c>
      <x:c r="M96" s="43" t="str">
        <x:v>High</x:v>
      </x:c>
      <x:c r="N96" s="43" t="str">
        <x:v>Optional-History</x:v>
      </x:c>
      <x:c r="O96" s="43" t="str"/>
      <x:c r="P96" s="43" t="str"/>
      <x:c r="Q96" s="43" t="str"/>
      <x:c r="R96" s="43" t="str"/>
      <x:c r="S96" s="43" t="str"/>
      <x:c r="T96" s="43" t="str">
        <x:v>docs/PRACTICE_SINGLE_SCOPE_REDUCTION_AUDIT.md</x:v>
      </x:c>
      <x:c r="U96" s="43" t="str">
        <x:v>practice</x:v>
      </x:c>
      <x:c r="V96" s="43" t="str">
        <x:v>Practice Security</x:v>
      </x:c>
      <x:c r="W96" s="43" t="str"/>
      <x:c r="X96" s="43" t="str"/>
      <x:c r="Y96" s="43" t="str"/>
      <x:c r="Z96" s="43" t="str">
        <x:v>Historical / Phase 15 debt</x:v>
      </x:c>
    </x:row>
    <x:row r="97" ht="58" customHeight="1">
      <x:c r="A97" s="43" t="str">
        <x:v>PRA-12R-2</x:v>
      </x:c>
      <x:c r="B97" s="43" t="str">
        <x:v>PRA-12R</x:v>
      </x:c>
      <x:c r="C97" s="43" t="n">
        <x:v>12</x:v>
      </x:c>
      <x:c r="D97" s="43" t="str">
        <x:v>12R</x:v>
      </x:c>
      <x:c r="E97" s="43" t="str">
        <x:v>Work Item</x:v>
      </x:c>
      <x:c r="F97" s="43" t="str">
        <x:v>Task</x:v>
      </x:c>
      <x:c r="G97" s="43" t="str">
        <x:v>Replace generic policy runtime</x:v>
      </x:c>
      <x:c r="H97" s="43" t="str">
        <x:v>Governance &amp; Reduction</x:v>
      </x:c>
      <x:c r="I97" s="43" t="str">
        <x:v>Done with Debt</x:v>
      </x:c>
      <x:c r="J97" s="43" t="str">
        <x:v>PRACTICE_CODE_GATE_GREEN_BROWSER_QA_SKIPPED</x:v>
      </x:c>
      <x:c r="K97" s="43" t="str">
        <x:v>Medium</x:v>
      </x:c>
      <x:c r="L97" s="43" t="str">
        <x:v>Informational</x:v>
      </x:c>
      <x:c r="M97" s="43" t="str">
        <x:v>High</x:v>
      </x:c>
      <x:c r="N97" s="43" t="str">
        <x:v>Optional-History</x:v>
      </x:c>
      <x:c r="O97" s="43" t="str"/>
      <x:c r="P97" s="43" t="str"/>
      <x:c r="Q97" s="43" t="str"/>
      <x:c r="R97" s="43" t="str"/>
      <x:c r="S97" s="43" t="str"/>
      <x:c r="T97" s="43" t="str">
        <x:v>docs/PRACTICE_SINGLE_SCOPE_REDUCTION_AUDIT.md</x:v>
      </x:c>
      <x:c r="U97" s="43" t="str">
        <x:v>practice</x:v>
      </x:c>
      <x:c r="V97" s="43" t="str">
        <x:v>Practice Security</x:v>
      </x:c>
      <x:c r="W97" s="43" t="str"/>
      <x:c r="X97" s="43" t="str"/>
      <x:c r="Y97" s="43" t="str"/>
      <x:c r="Z97" s="43" t="str">
        <x:v>Historical / Phase 15 debt</x:v>
      </x:c>
    </x:row>
    <x:row r="98" ht="58" customHeight="1">
      <x:c r="A98" s="43" t="str">
        <x:v>PRA-12R-3</x:v>
      </x:c>
      <x:c r="B98" s="43" t="str">
        <x:v>PRA-12R</x:v>
      </x:c>
      <x:c r="C98" s="43" t="n">
        <x:v>12</x:v>
      </x:c>
      <x:c r="D98" s="43" t="str">
        <x:v>12R</x:v>
      </x:c>
      <x:c r="E98" s="43" t="str">
        <x:v>Work Item</x:v>
      </x:c>
      <x:c r="F98" s="43" t="str">
        <x:v>Task</x:v>
      </x:c>
      <x:c r="G98" s="43" t="str">
        <x:v>Schema reduction and migration proof</x:v>
      </x:c>
      <x:c r="H98" s="43" t="str">
        <x:v>Governance &amp; Reduction</x:v>
      </x:c>
      <x:c r="I98" s="43" t="str">
        <x:v>Done with Debt</x:v>
      </x:c>
      <x:c r="J98" s="43" t="str">
        <x:v>PRACTICE_CODE_GATE_GREEN_BROWSER_QA_SKIPPED</x:v>
      </x:c>
      <x:c r="K98" s="43" t="str">
        <x:v>Medium</x:v>
      </x:c>
      <x:c r="L98" s="43" t="str">
        <x:v>Informational</x:v>
      </x:c>
      <x:c r="M98" s="43" t="str">
        <x:v>High</x:v>
      </x:c>
      <x:c r="N98" s="43" t="str">
        <x:v>Optional-History</x:v>
      </x:c>
      <x:c r="O98" s="43" t="str"/>
      <x:c r="P98" s="43" t="str"/>
      <x:c r="Q98" s="43" t="str"/>
      <x:c r="R98" s="43" t="str"/>
      <x:c r="S98" s="43" t="str"/>
      <x:c r="T98" s="43" t="str">
        <x:v>docs/PRACTICE_SINGLE_SCOPE_REDUCTION_AUDIT.md</x:v>
      </x:c>
      <x:c r="U98" s="43" t="str">
        <x:v>practice</x:v>
      </x:c>
      <x:c r="V98" s="43" t="str">
        <x:v>Practice Security</x:v>
      </x:c>
      <x:c r="W98" s="43" t="str"/>
      <x:c r="X98" s="43" t="str"/>
      <x:c r="Y98" s="43" t="str"/>
      <x:c r="Z98" s="43" t="str">
        <x:v>Historical / Phase 15 debt</x:v>
      </x:c>
    </x:row>
    <x:row r="99" ht="58" customHeight="1">
      <x:c r="A99" s="43" t="str">
        <x:v>PRA-12R-4</x:v>
      </x:c>
      <x:c r="B99" s="43" t="str">
        <x:v>PRA-12R</x:v>
      </x:c>
      <x:c r="C99" s="43" t="n">
        <x:v>12</x:v>
      </x:c>
      <x:c r="D99" s="43" t="str">
        <x:v>12R</x:v>
      </x:c>
      <x:c r="E99" s="43" t="str">
        <x:v>Work Item</x:v>
      </x:c>
      <x:c r="F99" s="43" t="str">
        <x:v>Task</x:v>
      </x:c>
      <x:c r="G99" s="43" t="str">
        <x:v>Remove out-of-scope code/UI surface</x:v>
      </x:c>
      <x:c r="H99" s="43" t="str">
        <x:v>Governance &amp; Reduction</x:v>
      </x:c>
      <x:c r="I99" s="43" t="str">
        <x:v>Done with Debt</x:v>
      </x:c>
      <x:c r="J99" s="43" t="str">
        <x:v>PRACTICE_CODE_GATE_GREEN_BROWSER_QA_SKIPPED</x:v>
      </x:c>
      <x:c r="K99" s="43" t="str">
        <x:v>Medium</x:v>
      </x:c>
      <x:c r="L99" s="43" t="str">
        <x:v>Informational</x:v>
      </x:c>
      <x:c r="M99" s="43" t="str">
        <x:v>High</x:v>
      </x:c>
      <x:c r="N99" s="43" t="str">
        <x:v>Optional-History</x:v>
      </x:c>
      <x:c r="O99" s="43" t="str"/>
      <x:c r="P99" s="43" t="str"/>
      <x:c r="Q99" s="43" t="str"/>
      <x:c r="R99" s="43" t="str"/>
      <x:c r="S99" s="43" t="str"/>
      <x:c r="T99" s="43" t="str">
        <x:v>docs/PRACTICE_SINGLE_SCOPE_REDUCTION_AUDIT.md</x:v>
      </x:c>
      <x:c r="U99" s="43" t="str">
        <x:v>practice</x:v>
      </x:c>
      <x:c r="V99" s="43" t="str">
        <x:v>Practice Security</x:v>
      </x:c>
      <x:c r="W99" s="43" t="str"/>
      <x:c r="X99" s="43" t="str"/>
      <x:c r="Y99" s="43" t="str"/>
      <x:c r="Z99" s="43" t="str">
        <x:v>Historical / Phase 15 debt</x:v>
      </x:c>
    </x:row>
    <x:row r="100" ht="58" customHeight="1">
      <x:c r="A100" s="43" t="str">
        <x:v>PRA-12R-5</x:v>
      </x:c>
      <x:c r="B100" s="43" t="str">
        <x:v>PRA-12R</x:v>
      </x:c>
      <x:c r="C100" s="43" t="n">
        <x:v>12</x:v>
      </x:c>
      <x:c r="D100" s="43" t="str">
        <x:v>12R</x:v>
      </x:c>
      <x:c r="E100" s="43" t="str">
        <x:v>Work Item</x:v>
      </x:c>
      <x:c r="F100" s="43" t="str">
        <x:v>Task</x:v>
      </x:c>
      <x:c r="G100" s="43" t="str">
        <x:v>Lecturer-only ownership and collaboration</x:v>
      </x:c>
      <x:c r="H100" s="43" t="str">
        <x:v>Governance &amp; Reduction</x:v>
      </x:c>
      <x:c r="I100" s="43" t="str">
        <x:v>Done with Debt</x:v>
      </x:c>
      <x:c r="J100" s="43" t="str">
        <x:v>PRACTICE_CODE_GATE_GREEN_BROWSER_QA_SKIPPED</x:v>
      </x:c>
      <x:c r="K100" s="43" t="str">
        <x:v>Medium</x:v>
      </x:c>
      <x:c r="L100" s="43" t="str">
        <x:v>Informational</x:v>
      </x:c>
      <x:c r="M100" s="43" t="str">
        <x:v>High</x:v>
      </x:c>
      <x:c r="N100" s="43" t="str">
        <x:v>Optional-History</x:v>
      </x:c>
      <x:c r="O100" s="43" t="str"/>
      <x:c r="P100" s="43" t="str"/>
      <x:c r="Q100" s="43" t="str"/>
      <x:c r="R100" s="43" t="str"/>
      <x:c r="S100" s="43" t="str"/>
      <x:c r="T100" s="43" t="str">
        <x:v>docs/PRACTICE_SINGLE_SCOPE_REDUCTION_AUDIT.md</x:v>
      </x:c>
      <x:c r="U100" s="43" t="str">
        <x:v>practice</x:v>
      </x:c>
      <x:c r="V100" s="43" t="str">
        <x:v>Practice Security</x:v>
      </x:c>
      <x:c r="W100" s="43" t="str"/>
      <x:c r="X100" s="43" t="str"/>
      <x:c r="Y100" s="43" t="str"/>
      <x:c r="Z100" s="43" t="str">
        <x:v>Historical / Phase 15 debt</x:v>
      </x:c>
    </x:row>
    <x:row r="101" ht="58" customHeight="1">
      <x:c r="A101" s="43" t="str">
        <x:v>PRA-12R-6</x:v>
      </x:c>
      <x:c r="B101" s="43" t="str">
        <x:v>PRA-12R</x:v>
      </x:c>
      <x:c r="C101" s="43" t="n">
        <x:v>12</x:v>
      </x:c>
      <x:c r="D101" s="43" t="str">
        <x:v>12R</x:v>
      </x:c>
      <x:c r="E101" s="43" t="str">
        <x:v>Work Item</x:v>
      </x:c>
      <x:c r="F101" s="43" t="str">
        <x:v>Task</x:v>
      </x:c>
      <x:c r="G101" s="43" t="str">
        <x:v>Authoring and AI regression</x:v>
      </x:c>
      <x:c r="H101" s="43" t="str">
        <x:v>Governance &amp; Reduction</x:v>
      </x:c>
      <x:c r="I101" s="43" t="str">
        <x:v>Done with Debt</x:v>
      </x:c>
      <x:c r="J101" s="43" t="str">
        <x:v>PRACTICE_CODE_GATE_GREEN_BROWSER_QA_SKIPPED</x:v>
      </x:c>
      <x:c r="K101" s="43" t="str">
        <x:v>Medium</x:v>
      </x:c>
      <x:c r="L101" s="43" t="str">
        <x:v>Informational</x:v>
      </x:c>
      <x:c r="M101" s="43" t="str">
        <x:v>High</x:v>
      </x:c>
      <x:c r="N101" s="43" t="str">
        <x:v>Optional-History</x:v>
      </x:c>
      <x:c r="O101" s="43" t="str"/>
      <x:c r="P101" s="43" t="str"/>
      <x:c r="Q101" s="43" t="str"/>
      <x:c r="R101" s="43" t="str"/>
      <x:c r="S101" s="43" t="str"/>
      <x:c r="T101" s="43" t="str">
        <x:v>docs/PRACTICE_SINGLE_SCOPE_REDUCTION_AUDIT.md</x:v>
      </x:c>
      <x:c r="U101" s="43" t="str">
        <x:v>practice</x:v>
      </x:c>
      <x:c r="V101" s="43" t="str">
        <x:v>Practice Security</x:v>
      </x:c>
      <x:c r="W101" s="43" t="str"/>
      <x:c r="X101" s="43" t="str"/>
      <x:c r="Y101" s="43" t="str"/>
      <x:c r="Z101" s="43" t="str">
        <x:v>Historical / Phase 15 debt</x:v>
      </x:c>
    </x:row>
    <x:row r="102" ht="58" customHeight="1">
      <x:c r="A102" s="43" t="str">
        <x:v>PRA-12R-7</x:v>
      </x:c>
      <x:c r="B102" s="43" t="str">
        <x:v>PRA-12R</x:v>
      </x:c>
      <x:c r="C102" s="43" t="n">
        <x:v>12</x:v>
      </x:c>
      <x:c r="D102" s="43" t="str">
        <x:v>12R</x:v>
      </x:c>
      <x:c r="E102" s="43" t="str">
        <x:v>Work Item</x:v>
      </x:c>
      <x:c r="F102" s="43" t="str">
        <x:v>Task</x:v>
      </x:c>
      <x:c r="G102" s="43" t="str">
        <x:v>Mandatory stabilization; browser QA debt retained</x:v>
      </x:c>
      <x:c r="H102" s="43" t="str">
        <x:v>Governance &amp; Reduction</x:v>
      </x:c>
      <x:c r="I102" s="43" t="str">
        <x:v>Done with Debt</x:v>
      </x:c>
      <x:c r="J102" s="43" t="str">
        <x:v>PRACTICE_CODE_GATE_GREEN_BROWSER_QA_SKIPPED</x:v>
      </x:c>
      <x:c r="K102" s="43" t="str">
        <x:v>Medium</x:v>
      </x:c>
      <x:c r="L102" s="43" t="str">
        <x:v>Informational</x:v>
      </x:c>
      <x:c r="M102" s="43" t="str">
        <x:v>High</x:v>
      </x:c>
      <x:c r="N102" s="43" t="str">
        <x:v>Optional-History</x:v>
      </x:c>
      <x:c r="O102" s="43" t="str"/>
      <x:c r="P102" s="43" t="str"/>
      <x:c r="Q102" s="43" t="str"/>
      <x:c r="R102" s="43" t="str"/>
      <x:c r="S102" s="43" t="str"/>
      <x:c r="T102" s="43" t="str">
        <x:v>docs/PRACTICE_SINGLE_SCOPE_REDUCTION_AUDIT.md</x:v>
      </x:c>
      <x:c r="U102" s="43" t="str">
        <x:v>practice</x:v>
      </x:c>
      <x:c r="V102" s="43" t="str">
        <x:v>Practice Security</x:v>
      </x:c>
      <x:c r="W102" s="43" t="str"/>
      <x:c r="X102" s="43" t="str"/>
      <x:c r="Y102" s="43" t="str"/>
      <x:c r="Z102" s="43" t="str">
        <x:v>Historical / Phase 15 debt</x:v>
      </x:c>
    </x:row>
    <x:row r="103" ht="58" customHeight="1">
      <x:c r="A103" s="43" t="str">
        <x:v>PRA-13A</x:v>
      </x:c>
      <x:c r="B103" s="43" t="str">
        <x:v>PRA-PROGRAM</x:v>
      </x:c>
      <x:c r="C103" s="43" t="n">
        <x:v>13</x:v>
      </x:c>
      <x:c r="D103" s="43" t="str">
        <x:v>13A</x:v>
      </x:c>
      <x:c r="E103" s="43" t="str">
        <x:v>Epic</x:v>
      </x:c>
      <x:c r="F103" s="43" t="str">
        <x:v>Epic</x:v>
      </x:c>
      <x:c r="G103" s="43" t="str">
        <x:v>Learner Library &amp; State Foundation</x:v>
      </x:c>
      <x:c r="H103" s="43" t="str">
        <x:v>Learner Library</x:v>
      </x:c>
      <x:c r="I103" s="43" t="str">
        <x:v>Done</x:v>
      </x:c>
      <x:c r="J103" s="43" t="str">
        <x:v>COMPLETE_FOCUSED_GATE_GREEN</x:v>
      </x:c>
      <x:c r="K103" s="43" t="str">
        <x:v>Medium</x:v>
      </x:c>
      <x:c r="L103" s="43" t="str">
        <x:v>Informational</x:v>
      </x:c>
      <x:c r="M103" s="43" t="str">
        <x:v>High</x:v>
      </x:c>
      <x:c r="N103" s="43" t="str">
        <x:v>Optional-History</x:v>
      </x:c>
      <x:c r="O103" s="43" t="str"/>
      <x:c r="P103" s="43" t="str">
        <x:v>Bounded catalog, access, URL filters, lazy loading và shared attempt states.</x:v>
      </x:c>
      <x:c r="Q103" s="43" t="str">
        <x:v>No unbounded catalog; honest learner state; focused gate green.</x:v>
      </x:c>
      <x:c r="R103" s="43" t="str"/>
      <x:c r="S103" s="43" t="str"/>
      <x:c r="T103" s="43" t="str">
        <x:v>docs/PRACTICE_PHASE_13_IMPLEMENTATION_AND_GATE.md §13A</x:v>
      </x:c>
      <x:c r="U103" s="43" t="str">
        <x:v>practice</x:v>
      </x:c>
      <x:c r="V103" s="43" t="str">
        <x:v>Practice Learner</x:v>
      </x:c>
      <x:c r="W103" s="43" t="str"/>
      <x:c r="X103" s="43" t="str"/>
      <x:c r="Y103" s="43" t="str"/>
      <x:c r="Z103" s="43" t="str">
        <x:v>Phase 13</x:v>
      </x:c>
    </x:row>
    <x:row r="104" ht="58" customHeight="1">
      <x:c r="A104" s="43" t="str">
        <x:v>PRA-13A-T01</x:v>
      </x:c>
      <x:c r="B104" s="43" t="str">
        <x:v>PRA-13A</x:v>
      </x:c>
      <x:c r="C104" s="43" t="n">
        <x:v>13</x:v>
      </x:c>
      <x:c r="D104" s="43" t="str">
        <x:v>13A</x:v>
      </x:c>
      <x:c r="E104" s="43" t="str">
        <x:v>Work Item</x:v>
      </x:c>
      <x:c r="F104" s="43" t="str">
        <x:v>Task</x:v>
      </x:c>
      <x:c r="G104" s="43" t="str">
        <x:v>Server-backed bounded catalog and access</x:v>
      </x:c>
      <x:c r="H104" s="43" t="str">
        <x:v>Learner Library</x:v>
      </x:c>
      <x:c r="I104" s="43" t="str">
        <x:v>Done</x:v>
      </x:c>
      <x:c r="J104" s="43" t="str">
        <x:v>COMPLETE_FOCUSED_GATE_GREEN</x:v>
      </x:c>
      <x:c r="K104" s="43" t="str">
        <x:v>Medium</x:v>
      </x:c>
      <x:c r="L104" s="43" t="str">
        <x:v>Informational</x:v>
      </x:c>
      <x:c r="M104" s="43" t="str">
        <x:v>High</x:v>
      </x:c>
      <x:c r="N104" s="43" t="str">
        <x:v>Optional-History</x:v>
      </x:c>
      <x:c r="O104" s="43" t="str"/>
      <x:c r="P104" s="43" t="str"/>
      <x:c r="Q104" s="43" t="str"/>
      <x:c r="R104" s="43" t="str"/>
      <x:c r="S104" s="43" t="str"/>
      <x:c r="T104" s="43" t="str">
        <x:v>docs/PRACTICE_PHASE_13_IMPLEMENTATION_AND_GATE.md §13A</x:v>
      </x:c>
      <x:c r="U104" s="43" t="str">
        <x:v>practice</x:v>
      </x:c>
      <x:c r="V104" s="43" t="str">
        <x:v>Practice Learner</x:v>
      </x:c>
      <x:c r="W104" s="43" t="str"/>
      <x:c r="X104" s="43" t="str"/>
      <x:c r="Y104" s="43" t="str"/>
      <x:c r="Z104" s="43" t="str">
        <x:v>Phase 13</x:v>
      </x:c>
    </x:row>
    <x:row r="105" ht="58" customHeight="1">
      <x:c r="A105" s="43" t="str">
        <x:v>PRA-13A-T02</x:v>
      </x:c>
      <x:c r="B105" s="43" t="str">
        <x:v>PRA-13A</x:v>
      </x:c>
      <x:c r="C105" s="43" t="n">
        <x:v>13</x:v>
      </x:c>
      <x:c r="D105" s="43" t="str">
        <x:v>13A</x:v>
      </x:c>
      <x:c r="E105" s="43" t="str">
        <x:v>Work Item</x:v>
      </x:c>
      <x:c r="F105" s="43" t="str">
        <x:v>Task</x:v>
      </x:c>
      <x:c r="G105" s="43" t="str">
        <x:v>URL-backed search/skill filters and lazy loading</x:v>
      </x:c>
      <x:c r="H105" s="43" t="str">
        <x:v>Learner Library</x:v>
      </x:c>
      <x:c r="I105" s="43" t="str">
        <x:v>Done</x:v>
      </x:c>
      <x:c r="J105" s="43" t="str">
        <x:v>COMPLETE_FOCUSED_GATE_GREEN</x:v>
      </x:c>
      <x:c r="K105" s="43" t="str">
        <x:v>Medium</x:v>
      </x:c>
      <x:c r="L105" s="43" t="str">
        <x:v>Informational</x:v>
      </x:c>
      <x:c r="M105" s="43" t="str">
        <x:v>High</x:v>
      </x:c>
      <x:c r="N105" s="43" t="str">
        <x:v>Optional-History</x:v>
      </x:c>
      <x:c r="O105" s="43" t="str"/>
      <x:c r="P105" s="43" t="str"/>
      <x:c r="Q105" s="43" t="str"/>
      <x:c r="R105" s="43" t="str"/>
      <x:c r="S105" s="43" t="str"/>
      <x:c r="T105" s="43" t="str">
        <x:v>docs/PRACTICE_PHASE_13_IMPLEMENTATION_AND_GATE.md §13A</x:v>
      </x:c>
      <x:c r="U105" s="43" t="str">
        <x:v>practice</x:v>
      </x:c>
      <x:c r="V105" s="43" t="str">
        <x:v>Practice Learner</x:v>
      </x:c>
      <x:c r="W105" s="43" t="str"/>
      <x:c r="X105" s="43" t="str"/>
      <x:c r="Y105" s="43" t="str"/>
      <x:c r="Z105" s="43" t="str">
        <x:v>Phase 13</x:v>
      </x:c>
    </x:row>
    <x:row r="106" ht="58" customHeight="1">
      <x:c r="A106" s="43" t="str">
        <x:v>PRA-13A-T03</x:v>
      </x:c>
      <x:c r="B106" s="43" t="str">
        <x:v>PRA-13A</x:v>
      </x:c>
      <x:c r="C106" s="43" t="n">
        <x:v>13</x:v>
      </x:c>
      <x:c r="D106" s="43" t="str">
        <x:v>13A</x:v>
      </x:c>
      <x:c r="E106" s="43" t="str">
        <x:v>Work Item</x:v>
      </x:c>
      <x:c r="F106" s="43" t="str">
        <x:v>Task</x:v>
      </x:c>
      <x:c r="G106" s="43" t="str">
        <x:v>Shared attempt-state vocabulary</x:v>
      </x:c>
      <x:c r="H106" s="43" t="str">
        <x:v>Learner Library</x:v>
      </x:c>
      <x:c r="I106" s="43" t="str">
        <x:v>Done</x:v>
      </x:c>
      <x:c r="J106" s="43" t="str">
        <x:v>COMPLETE_FOCUSED_GATE_GREEN</x:v>
      </x:c>
      <x:c r="K106" s="43" t="str">
        <x:v>Medium</x:v>
      </x:c>
      <x:c r="L106" s="43" t="str">
        <x:v>Informational</x:v>
      </x:c>
      <x:c r="M106" s="43" t="str">
        <x:v>High</x:v>
      </x:c>
      <x:c r="N106" s="43" t="str">
        <x:v>Optional-History</x:v>
      </x:c>
      <x:c r="O106" s="43" t="str"/>
      <x:c r="P106" s="43" t="str"/>
      <x:c r="Q106" s="43" t="str"/>
      <x:c r="R106" s="43" t="str"/>
      <x:c r="S106" s="43" t="str"/>
      <x:c r="T106" s="43" t="str">
        <x:v>docs/PRACTICE_PHASE_13_IMPLEMENTATION_AND_GATE.md §13A</x:v>
      </x:c>
      <x:c r="U106" s="43" t="str">
        <x:v>practice</x:v>
      </x:c>
      <x:c r="V106" s="43" t="str">
        <x:v>Practice Learner</x:v>
      </x:c>
      <x:c r="W106" s="43" t="str"/>
      <x:c r="X106" s="43" t="str"/>
      <x:c r="Y106" s="43" t="str"/>
      <x:c r="Z106" s="43" t="str">
        <x:v>Phase 13</x:v>
      </x:c>
    </x:row>
    <x:row r="107" ht="58" customHeight="1">
      <x:c r="A107" s="43" t="str">
        <x:v>PRA-13A-T04</x:v>
      </x:c>
      <x:c r="B107" s="43" t="str">
        <x:v>PRA-13A</x:v>
      </x:c>
      <x:c r="C107" s="43" t="n">
        <x:v>13</x:v>
      </x:c>
      <x:c r="D107" s="43" t="str">
        <x:v>13A</x:v>
      </x:c>
      <x:c r="E107" s="43" t="str">
        <x:v>Work Item</x:v>
      </x:c>
      <x:c r="F107" s="43" t="str">
        <x:v>Task</x:v>
      </x:c>
      <x:c r="G107" s="43" t="str">
        <x:v>Route/performance/dead-code evidence</x:v>
      </x:c>
      <x:c r="H107" s="43" t="str">
        <x:v>Learner Library</x:v>
      </x:c>
      <x:c r="I107" s="43" t="str">
        <x:v>Done</x:v>
      </x:c>
      <x:c r="J107" s="43" t="str">
        <x:v>COMPLETE_FOCUSED_GATE_GREEN</x:v>
      </x:c>
      <x:c r="K107" s="43" t="str">
        <x:v>Medium</x:v>
      </x:c>
      <x:c r="L107" s="43" t="str">
        <x:v>Informational</x:v>
      </x:c>
      <x:c r="M107" s="43" t="str">
        <x:v>High</x:v>
      </x:c>
      <x:c r="N107" s="43" t="str">
        <x:v>Optional-History</x:v>
      </x:c>
      <x:c r="O107" s="43" t="str"/>
      <x:c r="P107" s="43" t="str"/>
      <x:c r="Q107" s="43" t="str"/>
      <x:c r="R107" s="43" t="str"/>
      <x:c r="S107" s="43" t="str"/>
      <x:c r="T107" s="43" t="str">
        <x:v>docs/PRACTICE_PHASE_13_IMPLEMENTATION_AND_GATE.md §13A</x:v>
      </x:c>
      <x:c r="U107" s="43" t="str">
        <x:v>practice</x:v>
      </x:c>
      <x:c r="V107" s="43" t="str">
        <x:v>Practice Learner</x:v>
      </x:c>
      <x:c r="W107" s="43" t="str"/>
      <x:c r="X107" s="43" t="str"/>
      <x:c r="Y107" s="43" t="str"/>
      <x:c r="Z107" s="43" t="str">
        <x:v>Phase 13</x:v>
      </x:c>
    </x:row>
    <x:row r="108" ht="58" customHeight="1">
      <x:c r="A108" s="43" t="str">
        <x:v>PRA-13B</x:v>
      </x:c>
      <x:c r="B108" s="43" t="str">
        <x:v>PRA-PROGRAM</x:v>
      </x:c>
      <x:c r="C108" s="43" t="n">
        <x:v>13</x:v>
      </x:c>
      <x:c r="D108" s="43" t="str">
        <x:v>13B</x:v>
      </x:c>
      <x:c r="E108" s="43" t="str">
        <x:v>Epic</x:v>
      </x:c>
      <x:c r="F108" s="43" t="str">
        <x:v>Epic</x:v>
      </x:c>
      <x:c r="G108" s="43" t="str">
        <x:v>Set/Test Detail &amp; Preflight</x:v>
      </x:c>
      <x:c r="H108" s="43" t="str">
        <x:v>Learner Preflight</x:v>
      </x:c>
      <x:c r="I108" s="43" t="str">
        <x:v>Done</x:v>
      </x:c>
      <x:c r="J108" s="43" t="str">
        <x:v>COMPLETE_FOCUSED_GATE_GREEN</x:v>
      </x:c>
      <x:c r="K108" s="43" t="str">
        <x:v>Medium</x:v>
      </x:c>
      <x:c r="L108" s="43" t="str">
        <x:v>Informational</x:v>
      </x:c>
      <x:c r="M108" s="43" t="str">
        <x:v>High</x:v>
      </x:c>
      <x:c r="N108" s="43" t="str">
        <x:v>Optional-History</x:v>
      </x:c>
      <x:c r="O108" s="43" t="str"/>
      <x:c r="P108" s="43" t="str">
        <x:v>Immutable attempt routing và media/device preflight.</x:v>
      </x:c>
      <x:c r="Q108" s="43" t="str">
        <x:v>Start/resume/retake suy ra từ state và locked version.</x:v>
      </x:c>
      <x:c r="R108" s="43" t="str"/>
      <x:c r="S108" s="43" t="str"/>
      <x:c r="T108" s="43" t="str">
        <x:v>docs/PRACTICE_PHASE_13_IMPLEMENTATION_AND_GATE.md §13B</x:v>
      </x:c>
      <x:c r="U108" s="43" t="str">
        <x:v>practice</x:v>
      </x:c>
      <x:c r="V108" s="43" t="str">
        <x:v>Practice Learner</x:v>
      </x:c>
      <x:c r="W108" s="43" t="str"/>
      <x:c r="X108" s="43" t="str"/>
      <x:c r="Y108" s="43" t="str"/>
      <x:c r="Z108" s="43" t="str">
        <x:v>Phase 13</x:v>
      </x:c>
    </x:row>
    <x:row r="109" ht="58" customHeight="1">
      <x:c r="A109" s="43" t="str">
        <x:v>PRA-13B-T01</x:v>
      </x:c>
      <x:c r="B109" s="43" t="str">
        <x:v>PRA-13B</x:v>
      </x:c>
      <x:c r="C109" s="43" t="n">
        <x:v>13</x:v>
      </x:c>
      <x:c r="D109" s="43" t="str">
        <x:v>13B</x:v>
      </x:c>
      <x:c r="E109" s="43" t="str">
        <x:v>Work Item</x:v>
      </x:c>
      <x:c r="F109" s="43" t="str">
        <x:v>Task</x:v>
      </x:c>
      <x:c r="G109" s="43" t="str">
        <x:v>Set/test/skill detail and actions</x:v>
      </x:c>
      <x:c r="H109" s="43" t="str">
        <x:v>Learner Preflight</x:v>
      </x:c>
      <x:c r="I109" s="43" t="str">
        <x:v>Done</x:v>
      </x:c>
      <x:c r="J109" s="43" t="str">
        <x:v>COMPLETE_FOCUSED_GATE_GREEN</x:v>
      </x:c>
      <x:c r="K109" s="43" t="str">
        <x:v>Medium</x:v>
      </x:c>
      <x:c r="L109" s="43" t="str">
        <x:v>Informational</x:v>
      </x:c>
      <x:c r="M109" s="43" t="str">
        <x:v>High</x:v>
      </x:c>
      <x:c r="N109" s="43" t="str">
        <x:v>Optional-History</x:v>
      </x:c>
      <x:c r="O109" s="43" t="str"/>
      <x:c r="P109" s="43" t="str"/>
      <x:c r="Q109" s="43" t="str"/>
      <x:c r="R109" s="43" t="str"/>
      <x:c r="S109" s="43" t="str"/>
      <x:c r="T109" s="43" t="str">
        <x:v>docs/PRACTICE_PHASE_13_IMPLEMENTATION_AND_GATE.md §13B</x:v>
      </x:c>
      <x:c r="U109" s="43" t="str">
        <x:v>practice</x:v>
      </x:c>
      <x:c r="V109" s="43" t="str">
        <x:v>Practice Learner</x:v>
      </x:c>
      <x:c r="W109" s="43" t="str"/>
      <x:c r="X109" s="43" t="str"/>
      <x:c r="Y109" s="43" t="str"/>
      <x:c r="Z109" s="43" t="str">
        <x:v>Phase 13</x:v>
      </x:c>
    </x:row>
    <x:row r="110" ht="58" customHeight="1">
      <x:c r="A110" s="43" t="str">
        <x:v>PRA-13B-T02</x:v>
      </x:c>
      <x:c r="B110" s="43" t="str">
        <x:v>PRA-13B</x:v>
      </x:c>
      <x:c r="C110" s="43" t="n">
        <x:v>13</x:v>
      </x:c>
      <x:c r="D110" s="43" t="str">
        <x:v>13B</x:v>
      </x:c>
      <x:c r="E110" s="43" t="str">
        <x:v>Work Item</x:v>
      </x:c>
      <x:c r="F110" s="43" t="str">
        <x:v>Task</x:v>
      </x:c>
      <x:c r="G110" s="43" t="str">
        <x:v>Immutable version-chain routing</x:v>
      </x:c>
      <x:c r="H110" s="43" t="str">
        <x:v>Learner Preflight</x:v>
      </x:c>
      <x:c r="I110" s="43" t="str">
        <x:v>Done</x:v>
      </x:c>
      <x:c r="J110" s="43" t="str">
        <x:v>COMPLETE_FOCUSED_GATE_GREEN</x:v>
      </x:c>
      <x:c r="K110" s="43" t="str">
        <x:v>Medium</x:v>
      </x:c>
      <x:c r="L110" s="43" t="str">
        <x:v>Informational</x:v>
      </x:c>
      <x:c r="M110" s="43" t="str">
        <x:v>High</x:v>
      </x:c>
      <x:c r="N110" s="43" t="str">
        <x:v>Optional-History</x:v>
      </x:c>
      <x:c r="O110" s="43" t="str"/>
      <x:c r="P110" s="43" t="str"/>
      <x:c r="Q110" s="43" t="str"/>
      <x:c r="R110" s="43" t="str"/>
      <x:c r="S110" s="43" t="str"/>
      <x:c r="T110" s="43" t="str">
        <x:v>docs/PRACTICE_PHASE_13_IMPLEMENTATION_AND_GATE.md §13B</x:v>
      </x:c>
      <x:c r="U110" s="43" t="str">
        <x:v>practice</x:v>
      </x:c>
      <x:c r="V110" s="43" t="str">
        <x:v>Practice Learner</x:v>
      </x:c>
      <x:c r="W110" s="43" t="str"/>
      <x:c r="X110" s="43" t="str"/>
      <x:c r="Y110" s="43" t="str"/>
      <x:c r="Z110" s="43" t="str">
        <x:v>Phase 13</x:v>
      </x:c>
    </x:row>
    <x:row r="111" ht="58" customHeight="1">
      <x:c r="A111" s="43" t="str">
        <x:v>PRA-13B-T03</x:v>
      </x:c>
      <x:c r="B111" s="43" t="str">
        <x:v>PRA-13B</x:v>
      </x:c>
      <x:c r="C111" s="43" t="n">
        <x:v>13</x:v>
      </x:c>
      <x:c r="D111" s="43" t="str">
        <x:v>13B</x:v>
      </x:c>
      <x:c r="E111" s="43" t="str">
        <x:v>Work Item</x:v>
      </x:c>
      <x:c r="F111" s="43" t="str">
        <x:v>Task</x:v>
      </x:c>
      <x:c r="G111" s="43" t="str">
        <x:v>Speaking microphone preflight</x:v>
      </x:c>
      <x:c r="H111" s="43" t="str">
        <x:v>Learner Preflight</x:v>
      </x:c>
      <x:c r="I111" s="43" t="str">
        <x:v>Done</x:v>
      </x:c>
      <x:c r="J111" s="43" t="str">
        <x:v>COMPLETE_FOCUSED_GATE_GREEN</x:v>
      </x:c>
      <x:c r="K111" s="43" t="str">
        <x:v>Medium</x:v>
      </x:c>
      <x:c r="L111" s="43" t="str">
        <x:v>Informational</x:v>
      </x:c>
      <x:c r="M111" s="43" t="str">
        <x:v>High</x:v>
      </x:c>
      <x:c r="N111" s="43" t="str">
        <x:v>Optional-History</x:v>
      </x:c>
      <x:c r="O111" s="43" t="str"/>
      <x:c r="P111" s="43" t="str"/>
      <x:c r="Q111" s="43" t="str"/>
      <x:c r="R111" s="43" t="str"/>
      <x:c r="S111" s="43" t="str"/>
      <x:c r="T111" s="43" t="str">
        <x:v>docs/PRACTICE_PHASE_13_IMPLEMENTATION_AND_GATE.md §13B</x:v>
      </x:c>
      <x:c r="U111" s="43" t="str">
        <x:v>practice</x:v>
      </x:c>
      <x:c r="V111" s="43" t="str">
        <x:v>Practice Learner</x:v>
      </x:c>
      <x:c r="W111" s="43" t="str"/>
      <x:c r="X111" s="43" t="str"/>
      <x:c r="Y111" s="43" t="str"/>
      <x:c r="Z111" s="43" t="str">
        <x:v>Phase 13</x:v>
      </x:c>
    </x:row>
    <x:row r="112" ht="58" customHeight="1">
      <x:c r="A112" s="43" t="str">
        <x:v>PRA-13B-T04</x:v>
      </x:c>
      <x:c r="B112" s="43" t="str">
        <x:v>PRA-13B</x:v>
      </x:c>
      <x:c r="C112" s="43" t="n">
        <x:v>13</x:v>
      </x:c>
      <x:c r="D112" s="43" t="str">
        <x:v>13B</x:v>
      </x:c>
      <x:c r="E112" s="43" t="str">
        <x:v>Work Item</x:v>
      </x:c>
      <x:c r="F112" s="43" t="str">
        <x:v>Task</x:v>
      </x:c>
      <x:c r="G112" s="43" t="str">
        <x:v>Listening speaker/media preflight</x:v>
      </x:c>
      <x:c r="H112" s="43" t="str">
        <x:v>Learner Preflight</x:v>
      </x:c>
      <x:c r="I112" s="43" t="str">
        <x:v>Done</x:v>
      </x:c>
      <x:c r="J112" s="43" t="str">
        <x:v>COMPLETE_FOCUSED_GATE_GREEN</x:v>
      </x:c>
      <x:c r="K112" s="43" t="str">
        <x:v>Medium</x:v>
      </x:c>
      <x:c r="L112" s="43" t="str">
        <x:v>Informational</x:v>
      </x:c>
      <x:c r="M112" s="43" t="str">
        <x:v>High</x:v>
      </x:c>
      <x:c r="N112" s="43" t="str">
        <x:v>Optional-History</x:v>
      </x:c>
      <x:c r="O112" s="43" t="str"/>
      <x:c r="P112" s="43" t="str"/>
      <x:c r="Q112" s="43" t="str"/>
      <x:c r="R112" s="43" t="str"/>
      <x:c r="S112" s="43" t="str"/>
      <x:c r="T112" s="43" t="str">
        <x:v>docs/PRACTICE_PHASE_13_IMPLEMENTATION_AND_GATE.md §13B</x:v>
      </x:c>
      <x:c r="U112" s="43" t="str">
        <x:v>practice</x:v>
      </x:c>
      <x:c r="V112" s="43" t="str">
        <x:v>Practice Learner</x:v>
      </x:c>
      <x:c r="W112" s="43" t="str"/>
      <x:c r="X112" s="43" t="str"/>
      <x:c r="Y112" s="43" t="str"/>
      <x:c r="Z112" s="43" t="str">
        <x:v>Phase 13</x:v>
      </x:c>
    </x:row>
    <x:row r="113" ht="58" customHeight="1">
      <x:c r="A113" s="43" t="str">
        <x:v>PRA-13C</x:v>
      </x:c>
      <x:c r="B113" s="43" t="str">
        <x:v>PRA-PROGRAM</x:v>
      </x:c>
      <x:c r="C113" s="43" t="n">
        <x:v>13</x:v>
      </x:c>
      <x:c r="D113" s="43" t="str">
        <x:v>13C</x:v>
      </x:c>
      <x:c r="E113" s="43" t="str">
        <x:v>Epic</x:v>
      </x:c>
      <x:c r="F113" s="43" t="str">
        <x:v>Epic</x:v>
      </x:c>
      <x:c r="G113" s="43" t="str">
        <x:v>Skill-Native Players</x:v>
      </x:c>
      <x:c r="H113" s="43" t="str">
        <x:v>Learner Player</x:v>
      </x:c>
      <x:c r="I113" s="43" t="str">
        <x:v>Done</x:v>
      </x:c>
      <x:c r="J113" s="43" t="str">
        <x:v>13C2_FULL_SUITE_GREEN_COMMITTED_PUSHED</x:v>
      </x:c>
      <x:c r="K113" s="43" t="str">
        <x:v>Medium</x:v>
      </x:c>
      <x:c r="L113" s="43" t="str">
        <x:v>Informational</x:v>
      </x:c>
      <x:c r="M113" s="43" t="str">
        <x:v>High</x:v>
      </x:c>
      <x:c r="N113" s="43" t="str">
        <x:v>Optional-History</x:v>
      </x:c>
      <x:c r="O113" s="43" t="str"/>
      <x:c r="P113" s="43" t="str">
        <x:v>R/L, Writing và Speaking players cùng shared shell/media contracts.</x:v>
      </x:c>
      <x:c r="Q113" s="43" t="str">
        <x:v>Canonical type delivery, no answer leak và route gate xanh.</x:v>
      </x:c>
      <x:c r="R113" s="43" t="str"/>
      <x:c r="S113" s="43" t="str"/>
      <x:c r="T113" s="43" t="str">
        <x:v>docs/PRACTICE_PHASE_13_IMPLEMENTATION_AND_GATE.md §13C</x:v>
      </x:c>
      <x:c r="U113" s="43" t="str">
        <x:v>practice</x:v>
      </x:c>
      <x:c r="V113" s="43" t="str">
        <x:v>Practice Player</x:v>
      </x:c>
      <x:c r="W113" s="43" t="str"/>
      <x:c r="X113" s="43" t="str"/>
      <x:c r="Y113" s="43" t="str"/>
      <x:c r="Z113" s="43" t="str">
        <x:v>Phase 13</x:v>
      </x:c>
    </x:row>
    <x:row r="114" ht="58" customHeight="1">
      <x:c r="A114" s="43" t="str">
        <x:v>PRA-13C-T01</x:v>
      </x:c>
      <x:c r="B114" s="43" t="str">
        <x:v>PRA-13C</x:v>
      </x:c>
      <x:c r="C114" s="43" t="n">
        <x:v>13</x:v>
      </x:c>
      <x:c r="D114" s="43" t="str">
        <x:v>13C</x:v>
      </x:c>
      <x:c r="E114" s="43" t="str">
        <x:v>Work Item</x:v>
      </x:c>
      <x:c r="F114" s="43" t="str">
        <x:v>Task</x:v>
      </x:c>
      <x:c r="G114" s="43" t="str">
        <x:v>Reading/Listening exam shell</x:v>
      </x:c>
      <x:c r="H114" s="43" t="str">
        <x:v>Learner Player</x:v>
      </x:c>
      <x:c r="I114" s="43" t="str">
        <x:v>Done</x:v>
      </x:c>
      <x:c r="J114" s="43" t="str">
        <x:v>13C2_FULL_SUITE_GREEN_COMMITTED_PUSHED</x:v>
      </x:c>
      <x:c r="K114" s="43" t="str">
        <x:v>Medium</x:v>
      </x:c>
      <x:c r="L114" s="43" t="str">
        <x:v>Informational</x:v>
      </x:c>
      <x:c r="M114" s="43" t="str">
        <x:v>High</x:v>
      </x:c>
      <x:c r="N114" s="43" t="str">
        <x:v>Optional-History</x:v>
      </x:c>
      <x:c r="O114" s="43" t="str"/>
      <x:c r="P114" s="43" t="str"/>
      <x:c r="Q114" s="43" t="str"/>
      <x:c r="R114" s="43" t="str"/>
      <x:c r="S114" s="43" t="str"/>
      <x:c r="T114" s="43" t="str">
        <x:v>docs/PRACTICE_PHASE_13_IMPLEMENTATION_AND_GATE.md §13C</x:v>
      </x:c>
      <x:c r="U114" s="43" t="str">
        <x:v>practice</x:v>
      </x:c>
      <x:c r="V114" s="43" t="str">
        <x:v>Practice Player</x:v>
      </x:c>
      <x:c r="W114" s="43" t="str"/>
      <x:c r="X114" s="43" t="str"/>
      <x:c r="Y114" s="43" t="str"/>
      <x:c r="Z114" s="43" t="str">
        <x:v>Phase 13</x:v>
      </x:c>
    </x:row>
    <x:row r="115" ht="58" customHeight="1">
      <x:c r="A115" s="43" t="str">
        <x:v>PRA-13C-T02</x:v>
      </x:c>
      <x:c r="B115" s="43" t="str">
        <x:v>PRA-13C</x:v>
      </x:c>
      <x:c r="C115" s="43" t="n">
        <x:v>13</x:v>
      </x:c>
      <x:c r="D115" s="43" t="str">
        <x:v>13C</x:v>
      </x:c>
      <x:c r="E115" s="43" t="str">
        <x:v>Work Item</x:v>
      </x:c>
      <x:c r="F115" s="43" t="str">
        <x:v>Task</x:v>
      </x:c>
      <x:c r="G115" s="43" t="str">
        <x:v>Dedicated Writing player</x:v>
      </x:c>
      <x:c r="H115" s="43" t="str">
        <x:v>Learner Player</x:v>
      </x:c>
      <x:c r="I115" s="43" t="str">
        <x:v>Done</x:v>
      </x:c>
      <x:c r="J115" s="43" t="str">
        <x:v>13C2_FULL_SUITE_GREEN_COMMITTED_PUSHED</x:v>
      </x:c>
      <x:c r="K115" s="43" t="str">
        <x:v>Medium</x:v>
      </x:c>
      <x:c r="L115" s="43" t="str">
        <x:v>Informational</x:v>
      </x:c>
      <x:c r="M115" s="43" t="str">
        <x:v>High</x:v>
      </x:c>
      <x:c r="N115" s="43" t="str">
        <x:v>Optional-History</x:v>
      </x:c>
      <x:c r="O115" s="43" t="str"/>
      <x:c r="P115" s="43" t="str"/>
      <x:c r="Q115" s="43" t="str"/>
      <x:c r="R115" s="43" t="str"/>
      <x:c r="S115" s="43" t="str"/>
      <x:c r="T115" s="43" t="str">
        <x:v>docs/PRACTICE_PHASE_13_IMPLEMENTATION_AND_GATE.md §13C</x:v>
      </x:c>
      <x:c r="U115" s="43" t="str">
        <x:v>practice</x:v>
      </x:c>
      <x:c r="V115" s="43" t="str">
        <x:v>Practice Player</x:v>
      </x:c>
      <x:c r="W115" s="43" t="str"/>
      <x:c r="X115" s="43" t="str"/>
      <x:c r="Y115" s="43" t="str"/>
      <x:c r="Z115" s="43" t="str">
        <x:v>Phase 13</x:v>
      </x:c>
    </x:row>
    <x:row r="116" ht="58" customHeight="1">
      <x:c r="A116" s="43" t="str">
        <x:v>PRA-13C-T03</x:v>
      </x:c>
      <x:c r="B116" s="43" t="str">
        <x:v>PRA-13C</x:v>
      </x:c>
      <x:c r="C116" s="43" t="n">
        <x:v>13</x:v>
      </x:c>
      <x:c r="D116" s="43" t="str">
        <x:v>13C</x:v>
      </x:c>
      <x:c r="E116" s="43" t="str">
        <x:v>Work Item</x:v>
      </x:c>
      <x:c r="F116" s="43" t="str">
        <x:v>Task</x:v>
      </x:c>
      <x:c r="G116" s="43" t="str">
        <x:v>Dedicated Speaking recording state machine</x:v>
      </x:c>
      <x:c r="H116" s="43" t="str">
        <x:v>Learner Player</x:v>
      </x:c>
      <x:c r="I116" s="43" t="str">
        <x:v>Done</x:v>
      </x:c>
      <x:c r="J116" s="43" t="str">
        <x:v>13C2_FULL_SUITE_GREEN_COMMITTED_PUSHED</x:v>
      </x:c>
      <x:c r="K116" s="43" t="str">
        <x:v>Medium</x:v>
      </x:c>
      <x:c r="L116" s="43" t="str">
        <x:v>Informational</x:v>
      </x:c>
      <x:c r="M116" s="43" t="str">
        <x:v>High</x:v>
      </x:c>
      <x:c r="N116" s="43" t="str">
        <x:v>Optional-History</x:v>
      </x:c>
      <x:c r="O116" s="43" t="str"/>
      <x:c r="P116" s="43" t="str"/>
      <x:c r="Q116" s="43" t="str"/>
      <x:c r="R116" s="43" t="str"/>
      <x:c r="S116" s="43" t="str"/>
      <x:c r="T116" s="43" t="str">
        <x:v>docs/PRACTICE_PHASE_13_IMPLEMENTATION_AND_GATE.md §13C</x:v>
      </x:c>
      <x:c r="U116" s="43" t="str">
        <x:v>practice</x:v>
      </x:c>
      <x:c r="V116" s="43" t="str">
        <x:v>Practice Player</x:v>
      </x:c>
      <x:c r="W116" s="43" t="str"/>
      <x:c r="X116" s="43" t="str"/>
      <x:c r="Y116" s="43" t="str"/>
      <x:c r="Z116" s="43" t="str">
        <x:v>Phase 13</x:v>
      </x:c>
    </x:row>
    <x:row r="117" ht="58" customHeight="1">
      <x:c r="A117" s="43" t="str">
        <x:v>PRA-13C-T04</x:v>
      </x:c>
      <x:c r="B117" s="43" t="str">
        <x:v>PRA-13C</x:v>
      </x:c>
      <x:c r="C117" s="43" t="n">
        <x:v>13</x:v>
      </x:c>
      <x:c r="D117" s="43" t="str">
        <x:v>13C</x:v>
      </x:c>
      <x:c r="E117" s="43" t="str">
        <x:v>Work Item</x:v>
      </x:c>
      <x:c r="F117" s="43" t="str">
        <x:v>Task</x:v>
      </x:c>
      <x:c r="G117" s="43" t="str">
        <x:v>Canonical media and visual fill-blank authoring</x:v>
      </x:c>
      <x:c r="H117" s="43" t="str">
        <x:v>Learner Player</x:v>
      </x:c>
      <x:c r="I117" s="43" t="str">
        <x:v>Done</x:v>
      </x:c>
      <x:c r="J117" s="43" t="str">
        <x:v>13C2_FULL_SUITE_GREEN_COMMITTED_PUSHED</x:v>
      </x:c>
      <x:c r="K117" s="43" t="str">
        <x:v>Medium</x:v>
      </x:c>
      <x:c r="L117" s="43" t="str">
        <x:v>Informational</x:v>
      </x:c>
      <x:c r="M117" s="43" t="str">
        <x:v>High</x:v>
      </x:c>
      <x:c r="N117" s="43" t="str">
        <x:v>Optional-History</x:v>
      </x:c>
      <x:c r="O117" s="43" t="str"/>
      <x:c r="P117" s="43" t="str"/>
      <x:c r="Q117" s="43" t="str"/>
      <x:c r="R117" s="43" t="str"/>
      <x:c r="S117" s="43" t="str"/>
      <x:c r="T117" s="43" t="str">
        <x:v>docs/PRACTICE_PHASE_13_IMPLEMENTATION_AND_GATE.md §13C</x:v>
      </x:c>
      <x:c r="U117" s="43" t="str">
        <x:v>practice</x:v>
      </x:c>
      <x:c r="V117" s="43" t="str">
        <x:v>Practice Player</x:v>
      </x:c>
      <x:c r="W117" s="43" t="str"/>
      <x:c r="X117" s="43" t="str"/>
      <x:c r="Y117" s="43" t="str"/>
      <x:c r="Z117" s="43" t="str">
        <x:v>Phase 13</x:v>
      </x:c>
    </x:row>
    <x:row r="118" ht="58" customHeight="1">
      <x:c r="A118" s="43" t="str">
        <x:v>PRA-13C-T05</x:v>
      </x:c>
      <x:c r="B118" s="43" t="str">
        <x:v>PRA-13C</x:v>
      </x:c>
      <x:c r="C118" s="43" t="n">
        <x:v>13</x:v>
      </x:c>
      <x:c r="D118" s="43" t="str">
        <x:v>13C</x:v>
      </x:c>
      <x:c r="E118" s="43" t="str">
        <x:v>Work Item</x:v>
      </x:c>
      <x:c r="F118" s="43" t="str">
        <x:v>Task</x:v>
      </x:c>
      <x:c r="G118" s="43" t="str">
        <x:v>Answer-leak, route and full-suite gate</x:v>
      </x:c>
      <x:c r="H118" s="43" t="str">
        <x:v>Learner Player</x:v>
      </x:c>
      <x:c r="I118" s="43" t="str">
        <x:v>Done</x:v>
      </x:c>
      <x:c r="J118" s="43" t="str">
        <x:v>13C2_FULL_SUITE_GREEN_COMMITTED_PUSHED</x:v>
      </x:c>
      <x:c r="K118" s="43" t="str">
        <x:v>Medium</x:v>
      </x:c>
      <x:c r="L118" s="43" t="str">
        <x:v>Informational</x:v>
      </x:c>
      <x:c r="M118" s="43" t="str">
        <x:v>High</x:v>
      </x:c>
      <x:c r="N118" s="43" t="str">
        <x:v>Optional-History</x:v>
      </x:c>
      <x:c r="O118" s="43" t="str"/>
      <x:c r="P118" s="43" t="str"/>
      <x:c r="Q118" s="43" t="str"/>
      <x:c r="R118" s="43" t="str"/>
      <x:c r="S118" s="43" t="str"/>
      <x:c r="T118" s="43" t="str">
        <x:v>docs/PRACTICE_PHASE_13_IMPLEMENTATION_AND_GATE.md §13C</x:v>
      </x:c>
      <x:c r="U118" s="43" t="str">
        <x:v>practice</x:v>
      </x:c>
      <x:c r="V118" s="43" t="str">
        <x:v>Practice Player</x:v>
      </x:c>
      <x:c r="W118" s="43" t="str"/>
      <x:c r="X118" s="43" t="str"/>
      <x:c r="Y118" s="43" t="str"/>
      <x:c r="Z118" s="43" t="str">
        <x:v>Phase 13</x:v>
      </x:c>
    </x:row>
    <x:row r="119" ht="58" customHeight="1">
      <x:c r="A119" s="43" t="str">
        <x:v>PRA-13D</x:v>
      </x:c>
      <x:c r="B119" s="43" t="str">
        <x:v>PRA-PROGRAM</x:v>
      </x:c>
      <x:c r="C119" s="43" t="n">
        <x:v>13</x:v>
      </x:c>
      <x:c r="D119" s="43" t="str">
        <x:v>13D</x:v>
      </x:c>
      <x:c r="E119" s="43" t="str">
        <x:v>Epic</x:v>
      </x:c>
      <x:c r="F119" s="43" t="str">
        <x:v>Epic</x:v>
      </x:c>
      <x:c r="G119" s="43" t="str">
        <x:v>Result &amp; Immutable Explanation Lifecycle</x:v>
      </x:c>
      <x:c r="H119" s="43" t="str">
        <x:v>Result &amp; R/L AI</x:v>
      </x:c>
      <x:c r="I119" s="43" t="str">
        <x:v>Ready for Validation</x:v>
      </x:c>
      <x:c r="J119" s="43" t="str">
        <x:v>IMPLEMENTED_PENDING_PHASE_VALIDATION</x:v>
      </x:c>
      <x:c r="K119" s="43" t="str">
        <x:v>Highest</x:v>
      </x:c>
      <x:c r="L119" s="43" t="str">
        <x:v>High</x:v>
      </x:c>
      <x:c r="M119" s="43" t="str">
        <x:v>Documented Claim</x:v>
      </x:c>
      <x:c r="N119" s="43" t="str">
        <x:v>Yes</x:v>
      </x:c>
      <x:c r="O119" s="43" t="str"/>
      <x:c r="P119" s="43" t="str">
        <x:v>Canonical result overview, content-addressed R/L artifacts, durable generation và read-only result.</x:v>
      </x:c>
      <x:c r="Q119" s="43" t="str">
        <x:v>Section 6.9.9 scenarios pass; one final consolidated JDK17 validation including full suite.</x:v>
      </x:c>
      <x:c r="R119" s="43" t="str"/>
      <x:c r="S119" s="43" t="str">
        <x:v>Không drop artifact/binding/task; stop worker/provider trước code rollback; không khôi phục lazy GET generation.</x:v>
      </x:c>
      <x:c r="T119" s="43" t="str">
        <x:v>docs/PRACTICE_PHASE_13_IMPLEMENTATION_AND_GATE.md §6.9</x:v>
      </x:c>
      <x:c r="U119" s="43" t="str">
        <x:v>practice</x:v>
      </x:c>
      <x:c r="V119" s="43" t="str">
        <x:v>Practice Result</x:v>
      </x:c>
      <x:c r="W119" s="43" t="str"/>
      <x:c r="X119" s="43" t="str"/>
      <x:c r="Y119" s="43" t="str"/>
      <x:c r="Z119" s="43" t="str">
        <x:v>Practice-13D</x:v>
      </x:c>
    </x:row>
    <x:row r="120" ht="58" customHeight="1">
      <x:c r="A120" s="43" t="str">
        <x:v>PRA-13D-01</x:v>
      </x:c>
      <x:c r="B120" s="43" t="str">
        <x:v>PRA-13D</x:v>
      </x:c>
      <x:c r="C120" s="43" t="n">
        <x:v>13</x:v>
      </x:c>
      <x:c r="D120" s="43" t="str">
        <x:v>13D</x:v>
      </x:c>
      <x:c r="E120" s="43" t="str">
        <x:v>Work Item</x:v>
      </x:c>
      <x:c r="F120" s="43" t="str">
        <x:v>Story</x:v>
      </x:c>
      <x:c r="G120" s="43" t="str">
        <x:v>Canonical result envelope, assembler, shell and three presenters</x:v>
      </x:c>
      <x:c r="H120" s="43" t="str">
        <x:v>Result &amp; R/L AI</x:v>
      </x:c>
      <x:c r="I120" s="43" t="str">
        <x:v>Ready for Validation</x:v>
      </x:c>
      <x:c r="J120" s="43" t="str">
        <x:v>IMPLEMENTED_PENDING_PHASE_VALIDATION</x:v>
      </x:c>
      <x:c r="K120" s="43" t="str">
        <x:v>Medium</x:v>
      </x:c>
      <x:c r="L120" s="43" t="str">
        <x:v>Informational</x:v>
      </x:c>
      <x:c r="M120" s="43" t="str">
        <x:v>Documented Claim</x:v>
      </x:c>
      <x:c r="N120" s="43" t="str">
        <x:v>Yes</x:v>
      </x:c>
      <x:c r="O120" s="43" t="str"/>
      <x:c r="P120" s="43" t="str"/>
      <x:c r="Q120" s="43" t="str">
        <x:v>One route/assembler/shell; exactly Objective, Writing and holistic Speaking presenters.</x:v>
      </x:c>
      <x:c r="R120" s="43" t="str"/>
      <x:c r="S120" s="43" t="str"/>
      <x:c r="T120" s="43" t="str">
        <x:v>docs/PRACTICE_PHASE_13_IMPLEMENTATION_AND_GATE.md §6.9</x:v>
      </x:c>
      <x:c r="U120" s="43" t="str">
        <x:v>practice</x:v>
      </x:c>
      <x:c r="V120" s="43" t="str">
        <x:v>Practice Result</x:v>
      </x:c>
      <x:c r="W120" s="43" t="str"/>
      <x:c r="X120" s="43" t="str"/>
      <x:c r="Y120" s="43" t="str"/>
      <x:c r="Z120" s="43" t="str">
        <x:v>Practice-13D</x:v>
      </x:c>
    </x:row>
    <x:row r="121" ht="58" customHeight="1">
      <x:c r="A121" s="43" t="str">
        <x:v>PRA-13D-02</x:v>
      </x:c>
      <x:c r="B121" s="43" t="str">
        <x:v>PRA-13D</x:v>
      </x:c>
      <x:c r="C121" s="43" t="n">
        <x:v>13</x:v>
      </x:c>
      <x:c r="D121" s="43" t="str">
        <x:v>13D</x:v>
      </x:c>
      <x:c r="E121" s="43" t="str">
        <x:v>Work Item</x:v>
      </x:c>
      <x:c r="F121" s="43" t="str">
        <x:v>Story</x:v>
      </x:c>
      <x:c r="G121" s="43" t="str">
        <x:v>Honest score, state and evidence semantics</x:v>
      </x:c>
      <x:c r="H121" s="43" t="str">
        <x:v>Result &amp; R/L AI</x:v>
      </x:c>
      <x:c r="I121" s="43" t="str">
        <x:v>Ready for Validation</x:v>
      </x:c>
      <x:c r="J121" s="43" t="str">
        <x:v>IMPLEMENTED_PENDING_PHASE_VALIDATION</x:v>
      </x:c>
      <x:c r="K121" s="43" t="str">
        <x:v>Medium</x:v>
      </x:c>
      <x:c r="L121" s="43" t="str">
        <x:v>Informational</x:v>
      </x:c>
      <x:c r="M121" s="43" t="str">
        <x:v>Documented Claim</x:v>
      </x:c>
      <x:c r="N121" s="43" t="str">
        <x:v>Yes</x:v>
      </x:c>
      <x:c r="O121" s="43" t="str"/>
      <x:c r="P121" s="43" t="str"/>
      <x:c r="Q121" s="43" t="str">
        <x:v>No null→0, fabricated arithmetic, unconditional celebration or unsupported metrics.</x:v>
      </x:c>
      <x:c r="R121" s="43" t="str"/>
      <x:c r="S121" s="43" t="str"/>
      <x:c r="T121" s="43" t="str">
        <x:v>docs/PRACTICE_PHASE_13_IMPLEMENTATION_AND_GATE.md §6.9</x:v>
      </x:c>
      <x:c r="U121" s="43" t="str">
        <x:v>practice</x:v>
      </x:c>
      <x:c r="V121" s="43" t="str">
        <x:v>Practice Result</x:v>
      </x:c>
      <x:c r="W121" s="43" t="str"/>
      <x:c r="X121" s="43" t="str"/>
      <x:c r="Y121" s="43" t="str"/>
      <x:c r="Z121" s="43" t="str">
        <x:v>Practice-13D</x:v>
      </x:c>
    </x:row>
    <x:row r="122" ht="58" customHeight="1">
      <x:c r="A122" s="43" t="str">
        <x:v>PRA-13D-03</x:v>
      </x:c>
      <x:c r="B122" s="43" t="str">
        <x:v>PRA-13D</x:v>
      </x:c>
      <x:c r="C122" s="43" t="n">
        <x:v>13</x:v>
      </x:c>
      <x:c r="D122" s="43" t="str">
        <x:v>13D</x:v>
      </x:c>
      <x:c r="E122" s="43" t="str">
        <x:v>Work Item</x:v>
      </x:c>
      <x:c r="F122" s="43" t="str">
        <x:v>Task</x:v>
      </x:c>
      <x:c r="G122" s="43" t="str">
        <x:v>Canonical content fingerprint independent of IDs</x:v>
      </x:c>
      <x:c r="H122" s="43" t="str">
        <x:v>Result &amp; R/L AI</x:v>
      </x:c>
      <x:c r="I122" s="43" t="str">
        <x:v>Ready for Validation</x:v>
      </x:c>
      <x:c r="J122" s="43" t="str">
        <x:v>IMPLEMENTED_PENDING_PHASE_VALIDATION</x:v>
      </x:c>
      <x:c r="K122" s="43" t="str">
        <x:v>Medium</x:v>
      </x:c>
      <x:c r="L122" s="43" t="str">
        <x:v>Informational</x:v>
      </x:c>
      <x:c r="M122" s="43" t="str">
        <x:v>Documented Claim</x:v>
      </x:c>
      <x:c r="N122" s="43" t="str">
        <x:v>Yes</x:v>
      </x:c>
      <x:c r="O122" s="43" t="str"/>
      <x:c r="P122" s="43" t="str"/>
      <x:c r="Q122" s="43" t="str">
        <x:v>Includes canonical content/evidence/version tuple; excludes DB/attempt/user IDs.</x:v>
      </x:c>
      <x:c r="R122" s="43" t="str"/>
      <x:c r="S122" s="43" t="str"/>
      <x:c r="T122" s="43" t="str">
        <x:v>docs/PRACTICE_PHASE_13_IMPLEMENTATION_AND_GATE.md §6.9</x:v>
      </x:c>
      <x:c r="U122" s="43" t="str">
        <x:v>practice</x:v>
      </x:c>
      <x:c r="V122" s="43" t="str">
        <x:v>Practice Result</x:v>
      </x:c>
      <x:c r="W122" s="43" t="str"/>
      <x:c r="X122" s="43" t="str"/>
      <x:c r="Y122" s="43" t="str"/>
      <x:c r="Z122" s="43" t="str">
        <x:v>Practice-13D</x:v>
      </x:c>
    </x:row>
    <x:row r="123" ht="58" customHeight="1">
      <x:c r="A123" s="43" t="str">
        <x:v>PRA-13D-03-ST1</x:v>
      </x:c>
      <x:c r="B123" s="43" t="str">
        <x:v>PRA-13D-03</x:v>
      </x:c>
      <x:c r="C123" s="43" t="n">
        <x:v>13</x:v>
      </x:c>
      <x:c r="D123" s="43" t="str">
        <x:v>13D</x:v>
      </x:c>
      <x:c r="E123" s="43" t="str">
        <x:v>Sub-task</x:v>
      </x:c>
      <x:c r="F123" s="43" t="str">
        <x:v>Sub-task</x:v>
      </x:c>
      <x:c r="G123" s="43" t="str">
        <x:v>Canonicalize prompt, content JSON and AnswerSpec</x:v>
      </x:c>
      <x:c r="H123" s="43" t="str">
        <x:v>Result &amp; R/L AI</x:v>
      </x:c>
      <x:c r="I123" s="43" t="str">
        <x:v>Ready for Validation</x:v>
      </x:c>
      <x:c r="J123" s="43" t="str">
        <x:v>IMPLEMENTED_PENDING_PHASE_VALIDATION</x:v>
      </x:c>
      <x:c r="K123" s="43" t="str">
        <x:v>Medium</x:v>
      </x:c>
      <x:c r="L123" s="43" t="str">
        <x:v>Informational</x:v>
      </x:c>
      <x:c r="M123" s="43" t="str">
        <x:v>Documented Claim</x:v>
      </x:c>
      <x:c r="N123" s="43" t="str">
        <x:v>Yes</x:v>
      </x:c>
      <x:c r="O123" s="43" t="str"/>
      <x:c r="P123" s="43" t="str"/>
      <x:c r="Q123" s="43" t="str">
        <x:v>Equivalent semantic input hashes identically.</x:v>
      </x:c>
      <x:c r="R123" s="43" t="str"/>
      <x:c r="S123" s="43" t="str"/>
      <x:c r="T123" s="43" t="str">
        <x:v>docs/PRACTICE_PHASE_13_IMPLEMENTATION_AND_GATE.md §6.9</x:v>
      </x:c>
      <x:c r="U123" s="43" t="str">
        <x:v>practice</x:v>
      </x:c>
      <x:c r="V123" s="43" t="str">
        <x:v>Practice Result</x:v>
      </x:c>
      <x:c r="W123" s="43" t="str"/>
      <x:c r="X123" s="43" t="str"/>
      <x:c r="Y123" s="43" t="str"/>
      <x:c r="Z123" s="43" t="str">
        <x:v>Practice-13D</x:v>
      </x:c>
    </x:row>
    <x:row r="124" ht="58" customHeight="1">
      <x:c r="A124" s="43" t="str">
        <x:v>PRA-13D-03-ST2</x:v>
      </x:c>
      <x:c r="B124" s="43" t="str">
        <x:v>PRA-13D-03</x:v>
      </x:c>
      <x:c r="C124" s="43" t="n">
        <x:v>13</x:v>
      </x:c>
      <x:c r="D124" s="43" t="str">
        <x:v>13D</x:v>
      </x:c>
      <x:c r="E124" s="43" t="str">
        <x:v>Sub-task</x:v>
      </x:c>
      <x:c r="F124" s="43" t="str">
        <x:v>Sub-task</x:v>
      </x:c>
      <x:c r="G124" s="43" t="str">
        <x:v>Hash passage, transcript, image and audio evidence</x:v>
      </x:c>
      <x:c r="H124" s="43" t="str">
        <x:v>Result &amp; R/L AI</x:v>
      </x:c>
      <x:c r="I124" s="43" t="str">
        <x:v>Ready for Validation</x:v>
      </x:c>
      <x:c r="J124" s="43" t="str">
        <x:v>IMPLEMENTED_PENDING_PHASE_VALIDATION</x:v>
      </x:c>
      <x:c r="K124" s="43" t="str">
        <x:v>Medium</x:v>
      </x:c>
      <x:c r="L124" s="43" t="str">
        <x:v>Informational</x:v>
      </x:c>
      <x:c r="M124" s="43" t="str">
        <x:v>Documented Claim</x:v>
      </x:c>
      <x:c r="N124" s="43" t="str">
        <x:v>Yes</x:v>
      </x:c>
      <x:c r="O124" s="43" t="str"/>
      <x:c r="P124" s="43" t="str"/>
      <x:c r="Q124" s="43" t="str">
        <x:v>Shared evidence changes invalidate all dependent questions.</x:v>
      </x:c>
      <x:c r="R124" s="43" t="str"/>
      <x:c r="S124" s="43" t="str"/>
      <x:c r="T124" s="43" t="str">
        <x:v>docs/PRACTICE_PHASE_13_IMPLEMENTATION_AND_GATE.md §6.9</x:v>
      </x:c>
      <x:c r="U124" s="43" t="str">
        <x:v>practice</x:v>
      </x:c>
      <x:c r="V124" s="43" t="str">
        <x:v>Practice Result</x:v>
      </x:c>
      <x:c r="W124" s="43" t="str"/>
      <x:c r="X124" s="43" t="str"/>
      <x:c r="Y124" s="43" t="str"/>
      <x:c r="Z124" s="43" t="str">
        <x:v>Practice-13D</x:v>
      </x:c>
    </x:row>
    <x:row r="125" ht="58" customHeight="1">
      <x:c r="A125" s="43" t="str">
        <x:v>PRA-13D-03-ST3</x:v>
      </x:c>
      <x:c r="B125" s="43" t="str">
        <x:v>PRA-13D-03</x:v>
      </x:c>
      <x:c r="C125" s="43" t="n">
        <x:v>13</x:v>
      </x:c>
      <x:c r="D125" s="43" t="str">
        <x:v>13D</x:v>
      </x:c>
      <x:c r="E125" s="43" t="str">
        <x:v>Sub-task</x:v>
      </x:c>
      <x:c r="F125" s="43" t="str">
        <x:v>Sub-task</x:v>
      </x:c>
      <x:c r="G125" s="43" t="str">
        <x:v>Fingerprint reuse/invalidation unit tests</x:v>
      </x:c>
      <x:c r="H125" s="43" t="str">
        <x:v>Result &amp; R/L AI</x:v>
      </x:c>
      <x:c r="I125" s="43" t="str">
        <x:v>Ready for Validation</x:v>
      </x:c>
      <x:c r="J125" s="43" t="str">
        <x:v>IMPLEMENTED_PENDING_PHASE_VALIDATION</x:v>
      </x:c>
      <x:c r="K125" s="43" t="str">
        <x:v>Medium</x:v>
      </x:c>
      <x:c r="L125" s="43" t="str">
        <x:v>Informational</x:v>
      </x:c>
      <x:c r="M125" s="43" t="str">
        <x:v>Documented Claim</x:v>
      </x:c>
      <x:c r="N125" s="43" t="str">
        <x:v>Yes</x:v>
      </x:c>
      <x:c r="O125" s="43" t="str"/>
      <x:c r="P125" s="43" t="str"/>
      <x:c r="Q125" s="43" t="str">
        <x:v>Equivalent republish zero call; q1-only edit one task; model/prompt/schema/language invalidation.</x:v>
      </x:c>
      <x:c r="R125" s="43" t="str"/>
      <x:c r="S125" s="43" t="str"/>
      <x:c r="T125" s="43" t="str">
        <x:v>docs/PRACTICE_PHASE_13_IMPLEMENTATION_AND_GATE.md §6.9</x:v>
      </x:c>
      <x:c r="U125" s="43" t="str">
        <x:v>practice</x:v>
      </x:c>
      <x:c r="V125" s="43" t="str">
        <x:v>Practice Result</x:v>
      </x:c>
      <x:c r="W125" s="43" t="str"/>
      <x:c r="X125" s="43" t="str"/>
      <x:c r="Y125" s="43" t="str"/>
      <x:c r="Z125" s="43" t="str">
        <x:v>Practice-13D</x:v>
      </x:c>
    </x:row>
    <x:row r="126" ht="58" customHeight="1">
      <x:c r="A126" s="43" t="str">
        <x:v>PRA-13D-04</x:v>
      </x:c>
      <x:c r="B126" s="43" t="str">
        <x:v>PRA-13D</x:v>
      </x:c>
      <x:c r="C126" s="43" t="n">
        <x:v>13</x:v>
      </x:c>
      <x:c r="D126" s="43" t="str">
        <x:v>13D</x:v>
      </x:c>
      <x:c r="E126" s="43" t="str">
        <x:v>Work Item</x:v>
      </x:c>
      <x:c r="F126" s="43" t="str">
        <x:v>Task</x:v>
      </x:c>
      <x:c r="G126" s="43" t="str">
        <x:v>Artifact, binding and durable task schema/migration</x:v>
      </x:c>
      <x:c r="H126" s="43" t="str">
        <x:v>Result &amp; R/L AI</x:v>
      </x:c>
      <x:c r="I126" s="43" t="str">
        <x:v>Ready for Validation</x:v>
      </x:c>
      <x:c r="J126" s="43" t="str">
        <x:v>IMPLEMENTED_PENDING_PHASE_VALIDATION</x:v>
      </x:c>
      <x:c r="K126" s="43" t="str">
        <x:v>Medium</x:v>
      </x:c>
      <x:c r="L126" s="43" t="str">
        <x:v>Informational</x:v>
      </x:c>
      <x:c r="M126" s="43" t="str">
        <x:v>Documented Claim</x:v>
      </x:c>
      <x:c r="N126" s="43" t="str">
        <x:v>Yes</x:v>
      </x:c>
      <x:c r="O126" s="43" t="str"/>
      <x:c r="P126" s="43" t="str"/>
      <x:c r="Q126" s="43" t="str">
        <x:v>Unique artifact per provider contract; authoritative version binding; one active task.</x:v>
      </x:c>
      <x:c r="R126" s="43" t="str"/>
      <x:c r="S126" s="43" t="str"/>
      <x:c r="T126" s="43" t="str">
        <x:v>docs/PRACTICE_PHASE_13_IMPLEMENTATION_AND_GATE.md §6.9</x:v>
      </x:c>
      <x:c r="U126" s="43" t="str">
        <x:v>practice</x:v>
      </x:c>
      <x:c r="V126" s="43" t="str">
        <x:v>Practice Result</x:v>
      </x:c>
      <x:c r="W126" s="43" t="str"/>
      <x:c r="X126" s="43" t="str"/>
      <x:c r="Y126" s="43" t="str"/>
      <x:c r="Z126" s="43" t="str">
        <x:v>Practice-13D</x:v>
      </x:c>
    </x:row>
    <x:row r="127" ht="58" customHeight="1">
      <x:c r="A127" s="43" t="str">
        <x:v>PRA-13D-04-ST1</x:v>
      </x:c>
      <x:c r="B127" s="43" t="str">
        <x:v>PRA-13D-04</x:v>
      </x:c>
      <x:c r="C127" s="43" t="n">
        <x:v>13</x:v>
      </x:c>
      <x:c r="D127" s="43" t="str">
        <x:v>13D</x:v>
      </x:c>
      <x:c r="E127" s="43" t="str">
        <x:v>Sub-task</x:v>
      </x:c>
      <x:c r="F127" s="43" t="str">
        <x:v>Sub-task</x:v>
      </x:c>
      <x:c r="G127" s="43" t="str">
        <x:v>Migrate old cache to artifact and binding</x:v>
      </x:c>
      <x:c r="H127" s="43" t="str">
        <x:v>Result &amp; R/L AI</x:v>
      </x:c>
      <x:c r="I127" s="43" t="str">
        <x:v>Ready for Validation</x:v>
      </x:c>
      <x:c r="J127" s="43" t="str">
        <x:v>IMPLEMENTED_PENDING_PHASE_VALIDATION</x:v>
      </x:c>
      <x:c r="K127" s="43" t="str">
        <x:v>Medium</x:v>
      </x:c>
      <x:c r="L127" s="43" t="str">
        <x:v>Informational</x:v>
      </x:c>
      <x:c r="M127" s="43" t="str">
        <x:v>Documented Claim</x:v>
      </x:c>
      <x:c r="N127" s="43" t="str">
        <x:v>Yes</x:v>
      </x:c>
      <x:c r="O127" s="43" t="str"/>
      <x:c r="P127" s="43" t="str"/>
      <x:c r="Q127" s="43" t="str">
        <x:v>Bound history preserved; unbound legacy rows not guessed.</x:v>
      </x:c>
      <x:c r="R127" s="43" t="str"/>
      <x:c r="S127" s="43" t="str"/>
      <x:c r="T127" s="43" t="str">
        <x:v>docs/PRACTICE_PHASE_13_IMPLEMENTATION_AND_GATE.md §6.9</x:v>
      </x:c>
      <x:c r="U127" s="43" t="str">
        <x:v>practice</x:v>
      </x:c>
      <x:c r="V127" s="43" t="str">
        <x:v>Practice Result</x:v>
      </x:c>
      <x:c r="W127" s="43" t="str"/>
      <x:c r="X127" s="43" t="str"/>
      <x:c r="Y127" s="43" t="str"/>
      <x:c r="Z127" s="43" t="str">
        <x:v>Practice-13D</x:v>
      </x:c>
    </x:row>
    <x:row r="128" ht="58" customHeight="1">
      <x:c r="A128" s="43" t="str">
        <x:v>PRA-13D-04-ST2</x:v>
      </x:c>
      <x:c r="B128" s="43" t="str">
        <x:v>PRA-13D-04</x:v>
      </x:c>
      <x:c r="C128" s="43" t="n">
        <x:v>13</x:v>
      </x:c>
      <x:c r="D128" s="43" t="str">
        <x:v>13D</x:v>
      </x:c>
      <x:c r="E128" s="43" t="str">
        <x:v>Sub-task</x:v>
      </x:c>
      <x:c r="F128" s="43" t="str">
        <x:v>Sub-task</x:v>
      </x:c>
      <x:c r="G128" s="43" t="str">
        <x:v>Migration and uniqueness integration proof</x:v>
      </x:c>
      <x:c r="H128" s="43" t="str">
        <x:v>Result &amp; R/L AI</x:v>
      </x:c>
      <x:c r="I128" s="43" t="str">
        <x:v>Ready for Validation</x:v>
      </x:c>
      <x:c r="J128" s="43" t="str">
        <x:v>IMPLEMENTED_PENDING_PHASE_VALIDATION</x:v>
      </x:c>
      <x:c r="K128" s="43" t="str">
        <x:v>Medium</x:v>
      </x:c>
      <x:c r="L128" s="43" t="str">
        <x:v>Informational</x:v>
      </x:c>
      <x:c r="M128" s="43" t="str">
        <x:v>Documented Claim</x:v>
      </x:c>
      <x:c r="N128" s="43" t="str">
        <x:v>Yes</x:v>
      </x:c>
      <x:c r="O128" s="43" t="str"/>
      <x:c r="P128" s="43" t="str"/>
      <x:c r="Q128" s="43" t="str">
        <x:v>Fresh/upgrade path and duplicate protection verified.</x:v>
      </x:c>
      <x:c r="R128" s="43" t="str"/>
      <x:c r="S128" s="43" t="str"/>
      <x:c r="T128" s="43" t="str">
        <x:v>docs/PRACTICE_PHASE_13_IMPLEMENTATION_AND_GATE.md §6.9</x:v>
      </x:c>
      <x:c r="U128" s="43" t="str">
        <x:v>practice</x:v>
      </x:c>
      <x:c r="V128" s="43" t="str">
        <x:v>Practice Result</x:v>
      </x:c>
      <x:c r="W128" s="43" t="str"/>
      <x:c r="X128" s="43" t="str"/>
      <x:c r="Y128" s="43" t="str"/>
      <x:c r="Z128" s="43" t="str">
        <x:v>Practice-13D</x:v>
      </x:c>
    </x:row>
    <x:row r="129" ht="58" customHeight="1">
      <x:c r="A129" s="43" t="str">
        <x:v>PRA-13D-05</x:v>
      </x:c>
      <x:c r="B129" s="43" t="str">
        <x:v>PRA-13D</x:v>
      </x:c>
      <x:c r="C129" s="43" t="n">
        <x:v>13</x:v>
      </x:c>
      <x:c r="D129" s="43" t="str">
        <x:v>13D</x:v>
      </x:c>
      <x:c r="E129" s="43" t="str">
        <x:v>Work Item</x:v>
      </x:c>
      <x:c r="F129" s="43" t="str">
        <x:v>Task</x:v>
      </x:c>
      <x:c r="G129" s="43" t="str">
        <x:v>After-commit preparation and crash-gap reconciler</x:v>
      </x:c>
      <x:c r="H129" s="43" t="str">
        <x:v>Result &amp; R/L AI</x:v>
      </x:c>
      <x:c r="I129" s="43" t="str">
        <x:v>Ready for Validation</x:v>
      </x:c>
      <x:c r="J129" s="43" t="str">
        <x:v>IMPLEMENTED_PENDING_PHASE_VALIDATION</x:v>
      </x:c>
      <x:c r="K129" s="43" t="str">
        <x:v>Medium</x:v>
      </x:c>
      <x:c r="L129" s="43" t="str">
        <x:v>Informational</x:v>
      </x:c>
      <x:c r="M129" s="43" t="str">
        <x:v>Documented Claim</x:v>
      </x:c>
      <x:c r="N129" s="43" t="str">
        <x:v>Yes</x:v>
      </x:c>
      <x:c r="O129" s="43" t="str"/>
      <x:c r="P129" s="43" t="str"/>
      <x:c r="Q129" s="43" t="str">
        <x:v>Publish transaction has no provider I/O; reconciler idempotently repairs missed preparation.</x:v>
      </x:c>
      <x:c r="R129" s="43" t="str"/>
      <x:c r="S129" s="43" t="str"/>
      <x:c r="T129" s="43" t="str">
        <x:v>docs/PRACTICE_PHASE_13_IMPLEMENTATION_AND_GATE.md §6.9</x:v>
      </x:c>
      <x:c r="U129" s="43" t="str">
        <x:v>practice</x:v>
      </x:c>
      <x:c r="V129" s="43" t="str">
        <x:v>Practice Result</x:v>
      </x:c>
      <x:c r="W129" s="43" t="str"/>
      <x:c r="X129" s="43" t="str"/>
      <x:c r="Y129" s="43" t="str"/>
      <x:c r="Z129" s="43" t="str">
        <x:v>Practice-13D</x:v>
      </x:c>
    </x:row>
    <x:row r="130" ht="58" customHeight="1">
      <x:c r="A130" s="43" t="str">
        <x:v>PRA-13D-05-ST1</x:v>
      </x:c>
      <x:c r="B130" s="43" t="str">
        <x:v>PRA-13D-05</x:v>
      </x:c>
      <x:c r="C130" s="43" t="n">
        <x:v>13</x:v>
      </x:c>
      <x:c r="D130" s="43" t="str">
        <x:v>13D</x:v>
      </x:c>
      <x:c r="E130" s="43" t="str">
        <x:v>Sub-task</x:v>
      </x:c>
      <x:c r="F130" s="43" t="str">
        <x:v>Sub-task</x:v>
      </x:c>
      <x:c r="G130" s="43" t="str">
        <x:v>After-commit event preparation</x:v>
      </x:c>
      <x:c r="H130" s="43" t="str">
        <x:v>Result &amp; R/L AI</x:v>
      </x:c>
      <x:c r="I130" s="43" t="str">
        <x:v>Ready for Validation</x:v>
      </x:c>
      <x:c r="J130" s="43" t="str">
        <x:v>IMPLEMENTED_PENDING_PHASE_VALIDATION</x:v>
      </x:c>
      <x:c r="K130" s="43" t="str">
        <x:v>Medium</x:v>
      </x:c>
      <x:c r="L130" s="43" t="str">
        <x:v>Informational</x:v>
      </x:c>
      <x:c r="M130" s="43" t="str">
        <x:v>Documented Claim</x:v>
      </x:c>
      <x:c r="N130" s="43" t="str">
        <x:v>Yes</x:v>
      </x:c>
      <x:c r="O130" s="43" t="str"/>
      <x:c r="P130" s="43" t="str"/>
      <x:c r="Q130" s="43" t="str">
        <x:v>Reads committed immutable versions only.</x:v>
      </x:c>
      <x:c r="R130" s="43" t="str"/>
      <x:c r="S130" s="43" t="str"/>
      <x:c r="T130" s="43" t="str">
        <x:v>docs/PRACTICE_PHASE_13_IMPLEMENTATION_AND_GATE.md §6.9</x:v>
      </x:c>
      <x:c r="U130" s="43" t="str">
        <x:v>practice</x:v>
      </x:c>
      <x:c r="V130" s="43" t="str">
        <x:v>Practice Result</x:v>
      </x:c>
      <x:c r="W130" s="43" t="str"/>
      <x:c r="X130" s="43" t="str"/>
      <x:c r="Y130" s="43" t="str"/>
      <x:c r="Z130" s="43" t="str">
        <x:v>Practice-13D</x:v>
      </x:c>
    </x:row>
    <x:row r="131" ht="58" customHeight="1">
      <x:c r="A131" s="43" t="str">
        <x:v>PRA-13D-05-ST2</x:v>
      </x:c>
      <x:c r="B131" s="43" t="str">
        <x:v>PRA-13D-05</x:v>
      </x:c>
      <x:c r="C131" s="43" t="n">
        <x:v>13</x:v>
      </x:c>
      <x:c r="D131" s="43" t="str">
        <x:v>13D</x:v>
      </x:c>
      <x:c r="E131" s="43" t="str">
        <x:v>Sub-task</x:v>
      </x:c>
      <x:c r="F131" s="43" t="str">
        <x:v>Sub-task</x:v>
      </x:c>
      <x:c r="G131" s="43" t="str">
        <x:v>Scheduled reconciliation and observability</x:v>
      </x:c>
      <x:c r="H131" s="43" t="str">
        <x:v>Result &amp; R/L AI</x:v>
      </x:c>
      <x:c r="I131" s="43" t="str">
        <x:v>Ready for Validation</x:v>
      </x:c>
      <x:c r="J131" s="43" t="str">
        <x:v>IMPLEMENTED_PENDING_PHASE_VALIDATION</x:v>
      </x:c>
      <x:c r="K131" s="43" t="str">
        <x:v>Medium</x:v>
      </x:c>
      <x:c r="L131" s="43" t="str">
        <x:v>Informational</x:v>
      </x:c>
      <x:c r="M131" s="43" t="str">
        <x:v>Documented Claim</x:v>
      </x:c>
      <x:c r="N131" s="43" t="str">
        <x:v>Yes</x:v>
      </x:c>
      <x:c r="O131" s="43" t="str"/>
      <x:c r="P131" s="43" t="str"/>
      <x:c r="Q131" s="43" t="str">
        <x:v>Bounded scan; missing preparation visible and recoverable.</x:v>
      </x:c>
      <x:c r="R131" s="43" t="str"/>
      <x:c r="S131" s="43" t="str"/>
      <x:c r="T131" s="43" t="str">
        <x:v>docs/PRACTICE_PHASE_13_IMPLEMENTATION_AND_GATE.md §6.9</x:v>
      </x:c>
      <x:c r="U131" s="43" t="str">
        <x:v>practice</x:v>
      </x:c>
      <x:c r="V131" s="43" t="str">
        <x:v>Practice Result</x:v>
      </x:c>
      <x:c r="W131" s="43" t="str"/>
      <x:c r="X131" s="43" t="str"/>
      <x:c r="Y131" s="43" t="str"/>
      <x:c r="Z131" s="43" t="str">
        <x:v>Practice-13D</x:v>
      </x:c>
    </x:row>
    <x:row r="132" ht="58" customHeight="1">
      <x:c r="A132" s="43" t="str">
        <x:v>PRA-13D-06</x:v>
      </x:c>
      <x:c r="B132" s="43" t="str">
        <x:v>PRA-13D</x:v>
      </x:c>
      <x:c r="C132" s="43" t="n">
        <x:v>13</x:v>
      </x:c>
      <x:c r="D132" s="43" t="str">
        <x:v>13D</x:v>
      </x:c>
      <x:c r="E132" s="43" t="str">
        <x:v>Work Item</x:v>
      </x:c>
      <x:c r="F132" s="43" t="str">
        <x:v>Task</x:v>
      </x:c>
      <x:c r="G132" s="43" t="str">
        <x:v>Multi-node-safe worker, lease, retry and authorized replay</x:v>
      </x:c>
      <x:c r="H132" s="43" t="str">
        <x:v>Result &amp; R/L AI</x:v>
      </x:c>
      <x:c r="I132" s="43" t="str">
        <x:v>Ready for Validation</x:v>
      </x:c>
      <x:c r="J132" s="43" t="str">
        <x:v>IMPLEMENTED_PENDING_PHASE_VALIDATION</x:v>
      </x:c>
      <x:c r="K132" s="43" t="str">
        <x:v>Medium</x:v>
      </x:c>
      <x:c r="L132" s="43" t="str">
        <x:v>Informational</x:v>
      </x:c>
      <x:c r="M132" s="43" t="str">
        <x:v>Documented Claim</x:v>
      </x:c>
      <x:c r="N132" s="43" t="str">
        <x:v>Yes</x:v>
      </x:c>
      <x:c r="O132" s="43" t="str"/>
      <x:c r="P132" s="43" t="str"/>
      <x:c r="Q132" s="43" t="str">
        <x:v>Two nodes never call provider twice for one artifact; bounded backoff/final failure.</x:v>
      </x:c>
      <x:c r="R132" s="43" t="str"/>
      <x:c r="S132" s="43" t="str"/>
      <x:c r="T132" s="43" t="str">
        <x:v>docs/PRACTICE_PHASE_13_IMPLEMENTATION_AND_GATE.md §6.9</x:v>
      </x:c>
      <x:c r="U132" s="43" t="str">
        <x:v>practice</x:v>
      </x:c>
      <x:c r="V132" s="43" t="str">
        <x:v>Practice Result</x:v>
      </x:c>
      <x:c r="W132" s="43" t="str"/>
      <x:c r="X132" s="43" t="str"/>
      <x:c r="Y132" s="43" t="str"/>
      <x:c r="Z132" s="43" t="str">
        <x:v>Practice-13D</x:v>
      </x:c>
    </x:row>
    <x:row r="133" ht="58" customHeight="1">
      <x:c r="A133" s="43" t="str">
        <x:v>PRA-13D-06-ST1</x:v>
      </x:c>
      <x:c r="B133" s="43" t="str">
        <x:v>PRA-13D-06</x:v>
      </x:c>
      <x:c r="C133" s="43" t="n">
        <x:v>13</x:v>
      </x:c>
      <x:c r="D133" s="43" t="str">
        <x:v>13D</x:v>
      </x:c>
      <x:c r="E133" s="43" t="str">
        <x:v>Sub-task</x:v>
      </x:c>
      <x:c r="F133" s="43" t="str">
        <x:v>Sub-task</x:v>
      </x:c>
      <x:c r="G133" s="43" t="str">
        <x:v>Atomic claim and lease recovery</x:v>
      </x:c>
      <x:c r="H133" s="43" t="str">
        <x:v>Result &amp; R/L AI</x:v>
      </x:c>
      <x:c r="I133" s="43" t="str">
        <x:v>Ready for Validation</x:v>
      </x:c>
      <x:c r="J133" s="43" t="str">
        <x:v>IMPLEMENTED_PENDING_PHASE_VALIDATION</x:v>
      </x:c>
      <x:c r="K133" s="43" t="str">
        <x:v>Medium</x:v>
      </x:c>
      <x:c r="L133" s="43" t="str">
        <x:v>Informational</x:v>
      </x:c>
      <x:c r="M133" s="43" t="str">
        <x:v>Documented Claim</x:v>
      </x:c>
      <x:c r="N133" s="43" t="str">
        <x:v>Yes</x:v>
      </x:c>
      <x:c r="O133" s="43" t="str"/>
      <x:c r="P133" s="43" t="str"/>
      <x:c r="Q133" s="43" t="str">
        <x:v>Expired PROCESSING lease safely reclaimed.</x:v>
      </x:c>
      <x:c r="R133" s="43" t="str"/>
      <x:c r="S133" s="43" t="str"/>
      <x:c r="T133" s="43" t="str">
        <x:v>docs/PRACTICE_PHASE_13_IMPLEMENTATION_AND_GATE.md §6.9</x:v>
      </x:c>
      <x:c r="U133" s="43" t="str">
        <x:v>practice</x:v>
      </x:c>
      <x:c r="V133" s="43" t="str">
        <x:v>Practice Result</x:v>
      </x:c>
      <x:c r="W133" s="43" t="str"/>
      <x:c r="X133" s="43" t="str"/>
      <x:c r="Y133" s="43" t="str"/>
      <x:c r="Z133" s="43" t="str">
        <x:v>Practice-13D</x:v>
      </x:c>
    </x:row>
    <x:row r="134" ht="58" customHeight="1">
      <x:c r="A134" s="43" t="str">
        <x:v>PRA-13D-06-ST2</x:v>
      </x:c>
      <x:c r="B134" s="43" t="str">
        <x:v>PRA-13D-06</x:v>
      </x:c>
      <x:c r="C134" s="43" t="n">
        <x:v>13</x:v>
      </x:c>
      <x:c r="D134" s="43" t="str">
        <x:v>13D</x:v>
      </x:c>
      <x:c r="E134" s="43" t="str">
        <x:v>Sub-task</x:v>
      </x:c>
      <x:c r="F134" s="43" t="str">
        <x:v>Sub-task</x:v>
      </x:c>
      <x:c r="G134" s="43" t="str">
        <x:v>Retry/backoff/failure categories</x:v>
      </x:c>
      <x:c r="H134" s="43" t="str">
        <x:v>Result &amp; R/L AI</x:v>
      </x:c>
      <x:c r="I134" s="43" t="str">
        <x:v>Ready for Validation</x:v>
      </x:c>
      <x:c r="J134" s="43" t="str">
        <x:v>IMPLEMENTED_PENDING_PHASE_VALIDATION</x:v>
      </x:c>
      <x:c r="K134" s="43" t="str">
        <x:v>Medium</x:v>
      </x:c>
      <x:c r="L134" s="43" t="str">
        <x:v>Informational</x:v>
      </x:c>
      <x:c r="M134" s="43" t="str">
        <x:v>Documented Claim</x:v>
      </x:c>
      <x:c r="N134" s="43" t="str">
        <x:v>Yes</x:v>
      </x:c>
      <x:c r="O134" s="43" t="str"/>
      <x:c r="P134" s="43" t="str"/>
      <x:c r="Q134" s="43" t="str">
        <x:v>Retryable→RETRY_WAIT; exhausted→FAILED; bounded metadata.</x:v>
      </x:c>
      <x:c r="R134" s="43" t="str"/>
      <x:c r="S134" s="43" t="str"/>
      <x:c r="T134" s="43" t="str">
        <x:v>docs/PRACTICE_PHASE_13_IMPLEMENTATION_AND_GATE.md §6.9</x:v>
      </x:c>
      <x:c r="U134" s="43" t="str">
        <x:v>practice</x:v>
      </x:c>
      <x:c r="V134" s="43" t="str">
        <x:v>Practice Result</x:v>
      </x:c>
      <x:c r="W134" s="43" t="str"/>
      <x:c r="X134" s="43" t="str"/>
      <x:c r="Y134" s="43" t="str"/>
      <x:c r="Z134" s="43" t="str">
        <x:v>Practice-13D</x:v>
      </x:c>
    </x:row>
    <x:row r="135" ht="58" customHeight="1">
      <x:c r="A135" s="43" t="str">
        <x:v>PRA-13D-06-ST3</x:v>
      </x:c>
      <x:c r="B135" s="43" t="str">
        <x:v>PRA-13D-06</x:v>
      </x:c>
      <x:c r="C135" s="43" t="n">
        <x:v>13</x:v>
      </x:c>
      <x:c r="D135" s="43" t="str">
        <x:v>13D</x:v>
      </x:c>
      <x:c r="E135" s="43" t="str">
        <x:v>Sub-task</x:v>
      </x:c>
      <x:c r="F135" s="43" t="str">
        <x:v>Sub-task</x:v>
      </x:c>
      <x:c r="G135" s="43" t="str">
        <x:v>Authorized idempotent manual retry</x:v>
      </x:c>
      <x:c r="H135" s="43" t="str">
        <x:v>Result &amp; R/L AI</x:v>
      </x:c>
      <x:c r="I135" s="43" t="str">
        <x:v>Ready for Validation</x:v>
      </x:c>
      <x:c r="J135" s="43" t="str">
        <x:v>IMPLEMENTED_PENDING_PHASE_VALIDATION</x:v>
      </x:c>
      <x:c r="K135" s="43" t="str">
        <x:v>Medium</x:v>
      </x:c>
      <x:c r="L135" s="43" t="str">
        <x:v>Informational</x:v>
      </x:c>
      <x:c r="M135" s="43" t="str">
        <x:v>Documented Claim</x:v>
      </x:c>
      <x:c r="N135" s="43" t="str">
        <x:v>Yes</x:v>
      </x:c>
      <x:c r="O135" s="43" t="str"/>
      <x:c r="P135" s="43" t="str"/>
      <x:c r="Q135" s="43" t="str">
        <x:v>Publish permission, terminal failure only, cooldown and Retry-After.</x:v>
      </x:c>
      <x:c r="R135" s="43" t="str"/>
      <x:c r="S135" s="43" t="str"/>
      <x:c r="T135" s="43" t="str">
        <x:v>docs/PRACTICE_PHASE_13_IMPLEMENTATION_AND_GATE.md §6.9</x:v>
      </x:c>
      <x:c r="U135" s="43" t="str">
        <x:v>practice</x:v>
      </x:c>
      <x:c r="V135" s="43" t="str">
        <x:v>Practice Result</x:v>
      </x:c>
      <x:c r="W135" s="43" t="str"/>
      <x:c r="X135" s="43" t="str"/>
      <x:c r="Y135" s="43" t="str"/>
      <x:c r="Z135" s="43" t="str">
        <x:v>Practice-13D</x:v>
      </x:c>
    </x:row>
    <x:row r="136" ht="58" customHeight="1">
      <x:c r="A136" s="43" t="str">
        <x:v>PRA-13D-07</x:v>
      </x:c>
      <x:c r="B136" s="43" t="str">
        <x:v>PRA-13D</x:v>
      </x:c>
      <x:c r="C136" s="43" t="n">
        <x:v>13</x:v>
      </x:c>
      <x:c r="D136" s="43" t="str">
        <x:v>13D</x:v>
      </x:c>
      <x:c r="E136" s="43" t="str">
        <x:v>Work Item</x:v>
      </x:c>
      <x:c r="F136" s="43" t="str">
        <x:v>Story</x:v>
      </x:c>
      <x:c r="G136" s="43" t="str">
        <x:v>Read-only result lookup and old-attempt isolation</x:v>
      </x:c>
      <x:c r="H136" s="43" t="str">
        <x:v>Result &amp; R/L AI</x:v>
      </x:c>
      <x:c r="I136" s="43" t="str">
        <x:v>Ready for Validation</x:v>
      </x:c>
      <x:c r="J136" s="43" t="str">
        <x:v>IMPLEMENTED_PENDING_PHASE_VALIDATION</x:v>
      </x:c>
      <x:c r="K136" s="43" t="str">
        <x:v>Medium</x:v>
      </x:c>
      <x:c r="L136" s="43" t="str">
        <x:v>Informational</x:v>
      </x:c>
      <x:c r="M136" s="43" t="str">
        <x:v>Documented Claim</x:v>
      </x:c>
      <x:c r="N136" s="43" t="str">
        <x:v>Yes</x:v>
      </x:c>
      <x:c r="O136" s="43" t="str"/>
      <x:c r="P136" s="43" t="str"/>
      <x:c r="Q136" s="43" t="str">
        <x:v>Locked version→binding→artifact; GET performs zero writes/provider calls and no latest fallback.</x:v>
      </x:c>
      <x:c r="R136" s="43" t="str"/>
      <x:c r="S136" s="43" t="str"/>
      <x:c r="T136" s="43" t="str">
        <x:v>docs/PRACTICE_PHASE_13_IMPLEMENTATION_AND_GATE.md §6.9</x:v>
      </x:c>
      <x:c r="U136" s="43" t="str">
        <x:v>practice</x:v>
      </x:c>
      <x:c r="V136" s="43" t="str">
        <x:v>Practice Result</x:v>
      </x:c>
      <x:c r="W136" s="43" t="str"/>
      <x:c r="X136" s="43" t="str"/>
      <x:c r="Y136" s="43" t="str"/>
      <x:c r="Z136" s="43" t="str">
        <x:v>Practice-13D</x:v>
      </x:c>
    </x:row>
    <x:row r="137" ht="58" customHeight="1">
      <x:c r="A137" s="43" t="str">
        <x:v>PRA-13D-07-ST1</x:v>
      </x:c>
      <x:c r="B137" s="43" t="str">
        <x:v>PRA-13D-07</x:v>
      </x:c>
      <x:c r="C137" s="43" t="n">
        <x:v>13</x:v>
      </x:c>
      <x:c r="D137" s="43" t="str">
        <x:v>13D</x:v>
      </x:c>
      <x:c r="E137" s="43" t="str">
        <x:v>Sub-task</x:v>
      </x:c>
      <x:c r="F137" s="43" t="str">
        <x:v>Sub-task</x:v>
      </x:c>
      <x:c r="G137" s="43" t="str">
        <x:v>Learner-specific correctness overlay</x:v>
      </x:c>
      <x:c r="H137" s="43" t="str">
        <x:v>Result &amp; R/L AI</x:v>
      </x:c>
      <x:c r="I137" s="43" t="str">
        <x:v>Ready for Validation</x:v>
      </x:c>
      <x:c r="J137" s="43" t="str">
        <x:v>IMPLEMENTED_PENDING_PHASE_VALIDATION</x:v>
      </x:c>
      <x:c r="K137" s="43" t="str">
        <x:v>Medium</x:v>
      </x:c>
      <x:c r="L137" s="43" t="str">
        <x:v>Informational</x:v>
      </x:c>
      <x:c r="M137" s="43" t="str">
        <x:v>Documented Claim</x:v>
      </x:c>
      <x:c r="N137" s="43" t="str">
        <x:v>Yes</x:v>
      </x:c>
      <x:c r="O137" s="43" t="str"/>
      <x:c r="P137" s="43" t="str"/>
      <x:c r="Q137" s="43" t="str">
        <x:v>Artifact shared while answer/correctness/points differ per learner.</x:v>
      </x:c>
      <x:c r="R137" s="43" t="str"/>
      <x:c r="S137" s="43" t="str"/>
      <x:c r="T137" s="43" t="str">
        <x:v>docs/PRACTICE_PHASE_13_IMPLEMENTATION_AND_GATE.md §6.9</x:v>
      </x:c>
      <x:c r="U137" s="43" t="str">
        <x:v>practice</x:v>
      </x:c>
      <x:c r="V137" s="43" t="str">
        <x:v>Practice Result</x:v>
      </x:c>
      <x:c r="W137" s="43" t="str"/>
      <x:c r="X137" s="43" t="str"/>
      <x:c r="Y137" s="43" t="str"/>
      <x:c r="Z137" s="43" t="str">
        <x:v>Practice-13D</x:v>
      </x:c>
    </x:row>
    <x:row r="138" ht="58" customHeight="1">
      <x:c r="A138" s="43" t="str">
        <x:v>PRA-13D-07-ST2</x:v>
      </x:c>
      <x:c r="B138" s="43" t="str">
        <x:v>PRA-13D-07</x:v>
      </x:c>
      <x:c r="C138" s="43" t="n">
        <x:v>13</x:v>
      </x:c>
      <x:c r="D138" s="43" t="str">
        <x:v>13D</x:v>
      </x:c>
      <x:c r="E138" s="43" t="str">
        <x:v>Sub-task</x:v>
      </x:c>
      <x:c r="F138" s="43" t="str">
        <x:v>Sub-task</x:v>
      </x:c>
      <x:c r="G138" s="43" t="str">
        <x:v>Old/new attempt isolation tests</x:v>
      </x:c>
      <x:c r="H138" s="43" t="str">
        <x:v>Result &amp; R/L AI</x:v>
      </x:c>
      <x:c r="I138" s="43" t="str">
        <x:v>Ready for Validation</x:v>
      </x:c>
      <x:c r="J138" s="43" t="str">
        <x:v>IMPLEMENTED_PENDING_PHASE_VALIDATION</x:v>
      </x:c>
      <x:c r="K138" s="43" t="str">
        <x:v>Medium</x:v>
      </x:c>
      <x:c r="L138" s="43" t="str">
        <x:v>Informational</x:v>
      </x:c>
      <x:c r="M138" s="43" t="str">
        <x:v>Documented Claim</x:v>
      </x:c>
      <x:c r="N138" s="43" t="str">
        <x:v>Yes</x:v>
      </x:c>
      <x:c r="O138" s="43" t="str"/>
      <x:c r="P138" s="43" t="str"/>
      <x:c r="Q138" s="43" t="str">
        <x:v>Old attempt reads old binding; new attempt reads new binding.</x:v>
      </x:c>
      <x:c r="R138" s="43" t="str"/>
      <x:c r="S138" s="43" t="str"/>
      <x:c r="T138" s="43" t="str">
        <x:v>docs/PRACTICE_PHASE_13_IMPLEMENTATION_AND_GATE.md §6.9</x:v>
      </x:c>
      <x:c r="U138" s="43" t="str">
        <x:v>practice</x:v>
      </x:c>
      <x:c r="V138" s="43" t="str">
        <x:v>Practice Result</x:v>
      </x:c>
      <x:c r="W138" s="43" t="str"/>
      <x:c r="X138" s="43" t="str"/>
      <x:c r="Y138" s="43" t="str"/>
      <x:c r="Z138" s="43" t="str">
        <x:v>Practice-13D</x:v>
      </x:c>
    </x:row>
    <x:row r="139" ht="58" customHeight="1">
      <x:c r="A139" s="43" t="str">
        <x:v>PRA-13D-08</x:v>
      </x:c>
      <x:c r="B139" s="43" t="str">
        <x:v>PRA-13D</x:v>
      </x:c>
      <x:c r="C139" s="43" t="n">
        <x:v>13</x:v>
      </x:c>
      <x:c r="D139" s="43" t="str">
        <x:v>13D</x:v>
      </x:c>
      <x:c r="E139" s="43" t="str">
        <x:v>Work Item</x:v>
      </x:c>
      <x:c r="F139" s="43" t="str">
        <x:v>Task</x:v>
      </x:c>
      <x:c r="G139" s="43" t="str">
        <x:v>Retire parallel result/cache/generator paths</x:v>
      </x:c>
      <x:c r="H139" s="43" t="str">
        <x:v>Result &amp; R/L AI</x:v>
      </x:c>
      <x:c r="I139" s="43" t="str">
        <x:v>Ready for Validation</x:v>
      </x:c>
      <x:c r="J139" s="43" t="str">
        <x:v>IMPLEMENTED_PENDING_PHASE_VALIDATION</x:v>
      </x:c>
      <x:c r="K139" s="43" t="str">
        <x:v>Medium</x:v>
      </x:c>
      <x:c r="L139" s="43" t="str">
        <x:v>Informational</x:v>
      </x:c>
      <x:c r="M139" s="43" t="str">
        <x:v>Documented Claim</x:v>
      </x:c>
      <x:c r="N139" s="43" t="str">
        <x:v>Yes</x:v>
      </x:c>
      <x:c r="O139" s="43" t="str"/>
      <x:c r="P139" s="43" t="str"/>
      <x:c r="Q139" s="43" t="str">
        <x:v>One overview path, one fingerprint builder, one artifact read and one generation command.</x:v>
      </x:c>
      <x:c r="R139" s="43" t="str"/>
      <x:c r="S139" s="43" t="str"/>
      <x:c r="T139" s="43" t="str">
        <x:v>docs/PRACTICE_PHASE_13_IMPLEMENTATION_AND_GATE.md §6.9</x:v>
      </x:c>
      <x:c r="U139" s="43" t="str">
        <x:v>practice</x:v>
      </x:c>
      <x:c r="V139" s="43" t="str">
        <x:v>Practice Result</x:v>
      </x:c>
      <x:c r="W139" s="43" t="str"/>
      <x:c r="X139" s="43" t="str"/>
      <x:c r="Y139" s="43" t="str"/>
      <x:c r="Z139" s="43" t="str">
        <x:v>Practice-13D</x:v>
      </x:c>
    </x:row>
    <x:row r="140" ht="58" customHeight="1">
      <x:c r="A140" s="43" t="str">
        <x:v>PRA-13D-09</x:v>
      </x:c>
      <x:c r="B140" s="43" t="str">
        <x:v>PRA-13D</x:v>
      </x:c>
      <x:c r="C140" s="43" t="n">
        <x:v>13</x:v>
      </x:c>
      <x:c r="D140" s="43" t="str">
        <x:v>13D</x:v>
      </x:c>
      <x:c r="E140" s="43" t="str">
        <x:v>Work Item</x:v>
      </x:c>
      <x:c r="F140" s="43" t="str">
        <x:v>Task</x:v>
      </x:c>
      <x:c r="G140" s="43" t="str">
        <x:v>Validate supplemental timer, Listening, progress, PDF crop and Writing points</x:v>
      </x:c>
      <x:c r="H140" s="43" t="str">
        <x:v>Result &amp; R/L AI</x:v>
      </x:c>
      <x:c r="I140" s="43" t="str">
        <x:v>Ready for Validation</x:v>
      </x:c>
      <x:c r="J140" s="43" t="str">
        <x:v>IMPLEMENTED_PENDING_PHASE_VALIDATION</x:v>
      </x:c>
      <x:c r="K140" s="43" t="str">
        <x:v>Medium</x:v>
      </x:c>
      <x:c r="L140" s="43" t="str">
        <x:v>Informational</x:v>
      </x:c>
      <x:c r="M140" s="43" t="str">
        <x:v>Documented Claim</x:v>
      </x:c>
      <x:c r="N140" s="43" t="str">
        <x:v>Yes</x:v>
      </x:c>
      <x:c r="O140" s="43" t="str"/>
      <x:c r="P140" s="43" t="str"/>
      <x:c r="Q140" s="43" t="str">
        <x:v>All supplemental changes included in same phase validation unit.</x:v>
      </x:c>
      <x:c r="R140" s="43" t="str"/>
      <x:c r="S140" s="43" t="str"/>
      <x:c r="T140" s="43" t="str">
        <x:v>docs/PRACTICE_PHASE_13_IMPLEMENTATION_AND_GATE.md §6.9</x:v>
      </x:c>
      <x:c r="U140" s="43" t="str">
        <x:v>practice</x:v>
      </x:c>
      <x:c r="V140" s="43" t="str">
        <x:v>Practice Result</x:v>
      </x:c>
      <x:c r="W140" s="43" t="str"/>
      <x:c r="X140" s="43" t="str"/>
      <x:c r="Y140" s="43" t="str"/>
      <x:c r="Z140" s="43" t="str">
        <x:v>Practice-13D</x:v>
      </x:c>
    </x:row>
    <x:row r="141" ht="58" customHeight="1">
      <x:c r="A141" s="43" t="str">
        <x:v>PRA-13D-10</x:v>
      </x:c>
      <x:c r="B141" s="43" t="str">
        <x:v>PRA-13D</x:v>
      </x:c>
      <x:c r="C141" s="43" t="n">
        <x:v>13</x:v>
      </x:c>
      <x:c r="D141" s="43" t="str">
        <x:v>13D</x:v>
      </x:c>
      <x:c r="E141" s="43" t="str">
        <x:v>Work Item</x:v>
      </x:c>
      <x:c r="F141" s="43" t="str">
        <x:v>Task</x:v>
      </x:c>
      <x:c r="G141" s="43" t="str">
        <x:v>Complete-diff review and consolidated validation</x:v>
      </x:c>
      <x:c r="H141" s="43" t="str">
        <x:v>Result &amp; R/L AI</x:v>
      </x:c>
      <x:c r="I141" s="43" t="str">
        <x:v>Ready for Validation</x:v>
      </x:c>
      <x:c r="J141" s="43" t="str">
        <x:v>IMPLEMENTED_PENDING_PHASE_VALIDATION</x:v>
      </x:c>
      <x:c r="K141" s="43" t="str">
        <x:v>Medium</x:v>
      </x:c>
      <x:c r="L141" s="43" t="str">
        <x:v>Informational</x:v>
      </x:c>
      <x:c r="M141" s="43" t="str">
        <x:v>Documented Claim</x:v>
      </x:c>
      <x:c r="N141" s="43" t="str">
        <x:v>Yes</x:v>
      </x:c>
      <x:c r="O141" s="43" t="str"/>
      <x:c r="P141" s="43" t="str"/>
      <x:c r="Q141" s="43" t="str">
        <x:v>READY_FOR_PHASE_VALIDATION report; diff check; JDK17 compile; focused + migration/integration/concurrency + full suite once.</x:v>
      </x:c>
      <x:c r="R141" s="43" t="str"/>
      <x:c r="S141" s="43" t="str"/>
      <x:c r="T141" s="43" t="str">
        <x:v>docs/PRACTICE_PHASE_13_IMPLEMENTATION_AND_GATE.md §6.9</x:v>
      </x:c>
      <x:c r="U141" s="43" t="str">
        <x:v>practice</x:v>
      </x:c>
      <x:c r="V141" s="43" t="str">
        <x:v>Practice Result</x:v>
      </x:c>
      <x:c r="W141" s="43" t="str"/>
      <x:c r="X141" s="43" t="str"/>
      <x:c r="Y141" s="43" t="str"/>
      <x:c r="Z141" s="43" t="str">
        <x:v>Practice-13D</x:v>
      </x:c>
    </x:row>
    <x:row r="142" ht="58" customHeight="1">
      <x:c r="A142" s="43" t="str">
        <x:v>PRA-13D-10-ST1</x:v>
      </x:c>
      <x:c r="B142" s="43" t="str">
        <x:v>PRA-13D-10</x:v>
      </x:c>
      <x:c r="C142" s="43" t="n">
        <x:v>13</x:v>
      </x:c>
      <x:c r="D142" s="43" t="str">
        <x:v>13D</x:v>
      </x:c>
      <x:c r="E142" s="43" t="str">
        <x:v>Sub-task</x:v>
      </x:c>
      <x:c r="F142" s="43" t="str">
        <x:v>Sub-task</x:v>
      </x:c>
      <x:c r="G142" s="43" t="str">
        <x:v>Static complete-diff and no-parallel-path review</x:v>
      </x:c>
      <x:c r="H142" s="43" t="str">
        <x:v>Result &amp; R/L AI</x:v>
      </x:c>
      <x:c r="I142" s="43" t="str">
        <x:v>Ready for Validation</x:v>
      </x:c>
      <x:c r="J142" s="43" t="str">
        <x:v>IMPLEMENTED_PENDING_PHASE_VALIDATION</x:v>
      </x:c>
      <x:c r="K142" s="43" t="str">
        <x:v>Medium</x:v>
      </x:c>
      <x:c r="L142" s="43" t="str">
        <x:v>Informational</x:v>
      </x:c>
      <x:c r="M142" s="43" t="str">
        <x:v>Documented Claim</x:v>
      </x:c>
      <x:c r="N142" s="43" t="str">
        <x:v>Yes</x:v>
      </x:c>
      <x:c r="O142" s="43" t="str"/>
      <x:c r="P142" s="43" t="str"/>
      <x:c r="Q142" s="43" t="str">
        <x:v>Changed files/issues/commands reported before validation.</x:v>
      </x:c>
      <x:c r="R142" s="43" t="str"/>
      <x:c r="S142" s="43" t="str"/>
      <x:c r="T142" s="43" t="str">
        <x:v>docs/PRACTICE_PHASE_13_IMPLEMENTATION_AND_GATE.md §6.9</x:v>
      </x:c>
      <x:c r="U142" s="43" t="str">
        <x:v>practice</x:v>
      </x:c>
      <x:c r="V142" s="43" t="str">
        <x:v>Practice Result</x:v>
      </x:c>
      <x:c r="W142" s="43" t="str"/>
      <x:c r="X142" s="43" t="str"/>
      <x:c r="Y142" s="43" t="str"/>
      <x:c r="Z142" s="43" t="str">
        <x:v>Practice-13D</x:v>
      </x:c>
    </x:row>
    <x:row r="143" ht="58" customHeight="1">
      <x:c r="A143" s="43" t="str">
        <x:v>PRA-13D-10-ST2</x:v>
      </x:c>
      <x:c r="B143" s="43" t="str">
        <x:v>PRA-13D-10</x:v>
      </x:c>
      <x:c r="C143" s="43" t="n">
        <x:v>13</x:v>
      </x:c>
      <x:c r="D143" s="43" t="str">
        <x:v>13D</x:v>
      </x:c>
      <x:c r="E143" s="43" t="str">
        <x:v>Sub-task</x:v>
      </x:c>
      <x:c r="F143" s="43" t="str">
        <x:v>Sub-task</x:v>
      </x:c>
      <x:c r="G143" s="43" t="str">
        <x:v>Run one consolidated automated validation</x:v>
      </x:c>
      <x:c r="H143" s="43" t="str">
        <x:v>Result &amp; R/L AI</x:v>
      </x:c>
      <x:c r="I143" s="43" t="str">
        <x:v>Ready for Validation</x:v>
      </x:c>
      <x:c r="J143" s="43" t="str">
        <x:v>IMPLEMENTED_PENDING_PHASE_VALIDATION</x:v>
      </x:c>
      <x:c r="K143" s="43" t="str">
        <x:v>Medium</x:v>
      </x:c>
      <x:c r="L143" s="43" t="str">
        <x:v>Informational</x:v>
      </x:c>
      <x:c r="M143" s="43" t="str">
        <x:v>Documented Claim</x:v>
      </x:c>
      <x:c r="N143" s="43" t="str">
        <x:v>Yes</x:v>
      </x:c>
      <x:c r="O143" s="43" t="str"/>
      <x:c r="P143" s="43" t="str"/>
      <x:c r="Q143" s="43" t="str">
        <x:v>All commands/results/failures/grouped correction recorded.</x:v>
      </x:c>
      <x:c r="R143" s="43" t="str"/>
      <x:c r="S143" s="43" t="str"/>
      <x:c r="T143" s="43" t="str">
        <x:v>docs/PRACTICE_PHASE_13_IMPLEMENTATION_AND_GATE.md §6.9</x:v>
      </x:c>
      <x:c r="U143" s="43" t="str">
        <x:v>practice</x:v>
      </x:c>
      <x:c r="V143" s="43" t="str">
        <x:v>Practice Result</x:v>
      </x:c>
      <x:c r="W143" s="43" t="str"/>
      <x:c r="X143" s="43" t="str"/>
      <x:c r="Y143" s="43" t="str"/>
      <x:c r="Z143" s="43" t="str">
        <x:v>Practice-13D</x:v>
      </x:c>
    </x:row>
    <x:row r="144" ht="58" customHeight="1">
      <x:c r="A144" s="43" t="str">
        <x:v>PRA-13D-10-ST3</x:v>
      </x:c>
      <x:c r="B144" s="43" t="str">
        <x:v>PRA-13D-10</x:v>
      </x:c>
      <x:c r="C144" s="43" t="n">
        <x:v>13</x:v>
      </x:c>
      <x:c r="D144" s="43" t="str">
        <x:v>13D</x:v>
      </x:c>
      <x:c r="E144" s="43" t="str">
        <x:v>Sub-task</x:v>
      </x:c>
      <x:c r="F144" s="43" t="str">
        <x:v>Sub-task</x:v>
      </x:c>
      <x:c r="G144" s="43" t="str">
        <x:v>Update phase ledger and closure evidence</x:v>
      </x:c>
      <x:c r="H144" s="43" t="str">
        <x:v>Result &amp; R/L AI</x:v>
      </x:c>
      <x:c r="I144" s="43" t="str">
        <x:v>Ready for Validation</x:v>
      </x:c>
      <x:c r="J144" s="43" t="str">
        <x:v>IMPLEMENTED_PENDING_PHASE_VALIDATION</x:v>
      </x:c>
      <x:c r="K144" s="43" t="str">
        <x:v>Medium</x:v>
      </x:c>
      <x:c r="L144" s="43" t="str">
        <x:v>Informational</x:v>
      </x:c>
      <x:c r="M144" s="43" t="str">
        <x:v>Documented Claim</x:v>
      </x:c>
      <x:c r="N144" s="43" t="str">
        <x:v>Yes</x:v>
      </x:c>
      <x:c r="O144" s="43" t="str"/>
      <x:c r="P144" s="43" t="str"/>
      <x:c r="Q144" s="43" t="str">
        <x:v>Do not mark Done until validation evidence is green.</x:v>
      </x:c>
      <x:c r="R144" s="43" t="str"/>
      <x:c r="S144" s="43" t="str"/>
      <x:c r="T144" s="43" t="str">
        <x:v>docs/PRACTICE_PHASE_13_IMPLEMENTATION_AND_GATE.md §6.9</x:v>
      </x:c>
      <x:c r="U144" s="43" t="str">
        <x:v>practice</x:v>
      </x:c>
      <x:c r="V144" s="43" t="str">
        <x:v>Practice Result</x:v>
      </x:c>
      <x:c r="W144" s="43" t="str"/>
      <x:c r="X144" s="43" t="str"/>
      <x:c r="Y144" s="43" t="str"/>
      <x:c r="Z144" s="43" t="str">
        <x:v>Practice-13D</x:v>
      </x:c>
    </x:row>
    <x:row r="145" ht="58" customHeight="1">
      <x:c r="A145" s="43" t="str">
        <x:v>PRA-13E</x:v>
      </x:c>
      <x:c r="B145" s="43" t="str">
        <x:v>PRA-PROGRAM</x:v>
      </x:c>
      <x:c r="C145" s="43" t="n">
        <x:v>13</x:v>
      </x:c>
      <x:c r="D145" s="43" t="str">
        <x:v>13E</x:v>
      </x:c>
      <x:c r="E145" s="43" t="str">
        <x:v>Epic</x:v>
      </x:c>
      <x:c r="F145" s="43" t="str">
        <x:v>Epic</x:v>
      </x:c>
      <x:c r="G145" s="43" t="str">
        <x:v>Evidence-Based Result Detail</x:v>
      </x:c>
      <x:c r="H145" s="43" t="str">
        <x:v>Result Detail</x:v>
      </x:c>
      <x:c r="I145" s="43" t="str">
        <x:v>Backlog</x:v>
      </x:c>
      <x:c r="J145" s="43" t="str">
        <x:v>NOT_STARTED</x:v>
      </x:c>
      <x:c r="K145" s="43" t="str">
        <x:v>Medium</x:v>
      </x:c>
      <x:c r="L145" s="43" t="str">
        <x:v>Informational</x:v>
      </x:c>
      <x:c r="M145" s="43" t="str">
        <x:v>Current Contract</x:v>
      </x:c>
      <x:c r="N145" s="43" t="str">
        <x:v>Yes</x:v>
      </x:c>
      <x:c r="O145" s="43" t="str">
        <x:v>PRA-13D</x:v>
      </x:c>
      <x:c r="P145" s="43" t="str">
        <x:v>Canonical learner evidence detail consuming 13D artifacts.</x:v>
      </x:c>
      <x:c r="Q145" s="43" t="str">
        <x:v>Learner answer, official key, teacher explanation and AI artifact clearly separated; no second pipeline.</x:v>
      </x:c>
      <x:c r="R145" s="43" t="str"/>
      <x:c r="S145" s="43" t="str"/>
      <x:c r="T145" s="43" t="str">
        <x:v>PRACTICE_PHASE_10_16_EXECUTION_BLUEPRINT.md §13E</x:v>
      </x:c>
      <x:c r="U145" s="43" t="str">
        <x:v>practice</x:v>
      </x:c>
      <x:c r="V145" s="43" t="str">
        <x:v>Practice Result</x:v>
      </x:c>
      <x:c r="W145" s="43" t="str"/>
      <x:c r="X145" s="43" t="str"/>
      <x:c r="Y145" s="43" t="str"/>
      <x:c r="Z145" s="43" t="str">
        <x:v>Practice-13E</x:v>
      </x:c>
    </x:row>
    <x:row r="146" ht="58" customHeight="1">
      <x:c r="A146" s="43" t="str">
        <x:v>PRA-13E-01</x:v>
      </x:c>
      <x:c r="B146" s="43" t="str">
        <x:v>PRA-13E</x:v>
      </x:c>
      <x:c r="C146" s="43" t="n">
        <x:v>13</x:v>
      </x:c>
      <x:c r="D146" s="43" t="str">
        <x:v>13E</x:v>
      </x:c>
      <x:c r="E146" s="43" t="str">
        <x:v>Work Item</x:v>
      </x:c>
      <x:c r="F146" s="43" t="str">
        <x:v>Story</x:v>
      </x:c>
      <x:c r="G146" s="43" t="str">
        <x:v>Objective answer/key/teacher/AI separation</x:v>
      </x:c>
      <x:c r="H146" s="43" t="str">
        <x:v>Result Detail</x:v>
      </x:c>
      <x:c r="I146" s="43" t="str">
        <x:v>Backlog</x:v>
      </x:c>
      <x:c r="J146" s="43" t="str">
        <x:v>NOT_STARTED</x:v>
      </x:c>
      <x:c r="K146" s="43" t="str">
        <x:v>Medium</x:v>
      </x:c>
      <x:c r="L146" s="43" t="str">
        <x:v>Informational</x:v>
      </x:c>
      <x:c r="M146" s="43" t="str">
        <x:v>Current Contract</x:v>
      </x:c>
      <x:c r="N146" s="43" t="str">
        <x:v>Yes</x:v>
      </x:c>
      <x:c r="O146" s="43" t="str"/>
      <x:c r="P146" s="43" t="str"/>
      <x:c r="Q146" s="43" t="str"/>
      <x:c r="R146" s="43" t="str"/>
      <x:c r="S146" s="43" t="str"/>
      <x:c r="T146" s="43" t="str">
        <x:v>PRACTICE_PHASE_10_16_EXECUTION_BLUEPRINT.md §13E</x:v>
      </x:c>
      <x:c r="U146" s="43" t="str">
        <x:v>practice</x:v>
      </x:c>
      <x:c r="V146" s="43" t="str">
        <x:v>Practice Result</x:v>
      </x:c>
      <x:c r="W146" s="43" t="str"/>
      <x:c r="X146" s="43" t="str"/>
      <x:c r="Y146" s="43" t="str"/>
      <x:c r="Z146" s="43" t="str">
        <x:v>Practice-13E</x:v>
      </x:c>
    </x:row>
    <x:row r="147" ht="58" customHeight="1">
      <x:c r="A147" s="43" t="str">
        <x:v>PRA-13E-02</x:v>
      </x:c>
      <x:c r="B147" s="43" t="str">
        <x:v>PRA-13E</x:v>
      </x:c>
      <x:c r="C147" s="43" t="n">
        <x:v>13</x:v>
      </x:c>
      <x:c r="D147" s="43" t="str">
        <x:v>13E</x:v>
      </x:c>
      <x:c r="E147" s="43" t="str">
        <x:v>Work Item</x:v>
      </x:c>
      <x:c r="F147" s="43" t="str">
        <x:v>Story</x:v>
      </x:c>
      <x:c r="G147" s="43" t="str">
        <x:v>Passage, transcript and audio evidence anchors</x:v>
      </x:c>
      <x:c r="H147" s="43" t="str">
        <x:v>Result Detail</x:v>
      </x:c>
      <x:c r="I147" s="43" t="str">
        <x:v>Backlog</x:v>
      </x:c>
      <x:c r="J147" s="43" t="str">
        <x:v>NOT_STARTED</x:v>
      </x:c>
      <x:c r="K147" s="43" t="str">
        <x:v>Medium</x:v>
      </x:c>
      <x:c r="L147" s="43" t="str">
        <x:v>Informational</x:v>
      </x:c>
      <x:c r="M147" s="43" t="str">
        <x:v>Current Contract</x:v>
      </x:c>
      <x:c r="N147" s="43" t="str">
        <x:v>Yes</x:v>
      </x:c>
      <x:c r="O147" s="43" t="str"/>
      <x:c r="P147" s="43" t="str"/>
      <x:c r="Q147" s="43" t="str"/>
      <x:c r="R147" s="43" t="str"/>
      <x:c r="S147" s="43" t="str"/>
      <x:c r="T147" s="43" t="str">
        <x:v>PRACTICE_PHASE_10_16_EXECUTION_BLUEPRINT.md §13E</x:v>
      </x:c>
      <x:c r="U147" s="43" t="str">
        <x:v>practice</x:v>
      </x:c>
      <x:c r="V147" s="43" t="str">
        <x:v>Practice Result</x:v>
      </x:c>
      <x:c r="W147" s="43" t="str"/>
      <x:c r="X147" s="43" t="str"/>
      <x:c r="Y147" s="43" t="str"/>
      <x:c r="Z147" s="43" t="str">
        <x:v>Practice-13E</x:v>
      </x:c>
    </x:row>
    <x:row r="148" ht="58" customHeight="1">
      <x:c r="A148" s="43" t="str">
        <x:v>PRA-13E-03</x:v>
      </x:c>
      <x:c r="B148" s="43" t="str">
        <x:v>PRA-13E</x:v>
      </x:c>
      <x:c r="C148" s="43" t="n">
        <x:v>13</x:v>
      </x:c>
      <x:c r="D148" s="43" t="str">
        <x:v>13E</x:v>
      </x:c>
      <x:c r="E148" s="43" t="str">
        <x:v>Work Item</x:v>
      </x:c>
      <x:c r="F148" s="43" t="str">
        <x:v>Story</x:v>
      </x:c>
      <x:c r="G148" s="43" t="str">
        <x:v>Writing original, correction, sample and rubric evidence</x:v>
      </x:c>
      <x:c r="H148" s="43" t="str">
        <x:v>Result Detail</x:v>
      </x:c>
      <x:c r="I148" s="43" t="str">
        <x:v>Backlog</x:v>
      </x:c>
      <x:c r="J148" s="43" t="str">
        <x:v>NOT_STARTED</x:v>
      </x:c>
      <x:c r="K148" s="43" t="str">
        <x:v>Medium</x:v>
      </x:c>
      <x:c r="L148" s="43" t="str">
        <x:v>Informational</x:v>
      </x:c>
      <x:c r="M148" s="43" t="str">
        <x:v>Current Contract</x:v>
      </x:c>
      <x:c r="N148" s="43" t="str">
        <x:v>Yes</x:v>
      </x:c>
      <x:c r="O148" s="43" t="str"/>
      <x:c r="P148" s="43" t="str"/>
      <x:c r="Q148" s="43" t="str"/>
      <x:c r="R148" s="43" t="str"/>
      <x:c r="S148" s="43" t="str"/>
      <x:c r="T148" s="43" t="str">
        <x:v>PRACTICE_PHASE_10_16_EXECUTION_BLUEPRINT.md §13E</x:v>
      </x:c>
      <x:c r="U148" s="43" t="str">
        <x:v>practice</x:v>
      </x:c>
      <x:c r="V148" s="43" t="str">
        <x:v>Practice Result</x:v>
      </x:c>
      <x:c r="W148" s="43" t="str"/>
      <x:c r="X148" s="43" t="str"/>
      <x:c r="Y148" s="43" t="str"/>
      <x:c r="Z148" s="43" t="str">
        <x:v>Practice-13E</x:v>
      </x:c>
    </x:row>
    <x:row r="149" ht="58" customHeight="1">
      <x:c r="A149" s="43" t="str">
        <x:v>PRA-13E-04</x:v>
      </x:c>
      <x:c r="B149" s="43" t="str">
        <x:v>PRA-13E</x:v>
      </x:c>
      <x:c r="C149" s="43" t="n">
        <x:v>13</x:v>
      </x:c>
      <x:c r="D149" s="43" t="str">
        <x:v>13E</x:v>
      </x:c>
      <x:c r="E149" s="43" t="str">
        <x:v>Work Item</x:v>
      </x:c>
      <x:c r="F149" s="43" t="str">
        <x:v>Story</x:v>
      </x:c>
      <x:c r="G149" s="43" t="str">
        <x:v>Speaking recordings, transcript and per-question evidence</x:v>
      </x:c>
      <x:c r="H149" s="43" t="str">
        <x:v>Result Detail</x:v>
      </x:c>
      <x:c r="I149" s="43" t="str">
        <x:v>Backlog</x:v>
      </x:c>
      <x:c r="J149" s="43" t="str">
        <x:v>NOT_STARTED</x:v>
      </x:c>
      <x:c r="K149" s="43" t="str">
        <x:v>Medium</x:v>
      </x:c>
      <x:c r="L149" s="43" t="str">
        <x:v>Informational</x:v>
      </x:c>
      <x:c r="M149" s="43" t="str">
        <x:v>Current Contract</x:v>
      </x:c>
      <x:c r="N149" s="43" t="str">
        <x:v>Yes</x:v>
      </x:c>
      <x:c r="O149" s="43" t="str"/>
      <x:c r="P149" s="43" t="str"/>
      <x:c r="Q149" s="43" t="str"/>
      <x:c r="R149" s="43" t="str"/>
      <x:c r="S149" s="43" t="str"/>
      <x:c r="T149" s="43" t="str">
        <x:v>PRACTICE_PHASE_10_16_EXECUTION_BLUEPRINT.md §13E</x:v>
      </x:c>
      <x:c r="U149" s="43" t="str">
        <x:v>practice</x:v>
      </x:c>
      <x:c r="V149" s="43" t="str">
        <x:v>Practice Result</x:v>
      </x:c>
      <x:c r="W149" s="43" t="str"/>
      <x:c r="X149" s="43" t="str"/>
      <x:c r="Y149" s="43" t="str"/>
      <x:c r="Z149" s="43" t="str">
        <x:v>Practice-13E</x:v>
      </x:c>
    </x:row>
    <x:row r="150" ht="58" customHeight="1">
      <x:c r="A150" s="43" t="str">
        <x:v>PRA-13E-05</x:v>
      </x:c>
      <x:c r="B150" s="43" t="str">
        <x:v>PRA-13E</x:v>
      </x:c>
      <x:c r="C150" s="43" t="n">
        <x:v>13</x:v>
      </x:c>
      <x:c r="D150" s="43" t="str">
        <x:v>13E</x:v>
      </x:c>
      <x:c r="E150" s="43" t="str">
        <x:v>Work Item</x:v>
      </x:c>
      <x:c r="F150" s="43" t="str">
        <x:v>Task</x:v>
      </x:c>
      <x:c r="G150" s="43" t="str">
        <x:v>Playback authorization and privacy boundary</x:v>
      </x:c>
      <x:c r="H150" s="43" t="str">
        <x:v>Result Detail</x:v>
      </x:c>
      <x:c r="I150" s="43" t="str">
        <x:v>Backlog</x:v>
      </x:c>
      <x:c r="J150" s="43" t="str">
        <x:v>NOT_STARTED</x:v>
      </x:c>
      <x:c r="K150" s="43" t="str">
        <x:v>Medium</x:v>
      </x:c>
      <x:c r="L150" s="43" t="str">
        <x:v>Informational</x:v>
      </x:c>
      <x:c r="M150" s="43" t="str">
        <x:v>Current Contract</x:v>
      </x:c>
      <x:c r="N150" s="43" t="str">
        <x:v>Yes</x:v>
      </x:c>
      <x:c r="O150" s="43" t="str"/>
      <x:c r="P150" s="43" t="str"/>
      <x:c r="Q150" s="43" t="str"/>
      <x:c r="R150" s="43" t="str"/>
      <x:c r="S150" s="43" t="str"/>
      <x:c r="T150" s="43" t="str">
        <x:v>PRACTICE_PHASE_10_16_EXECUTION_BLUEPRINT.md §13E</x:v>
      </x:c>
      <x:c r="U150" s="43" t="str">
        <x:v>practice</x:v>
      </x:c>
      <x:c r="V150" s="43" t="str">
        <x:v>Practice Result</x:v>
      </x:c>
      <x:c r="W150" s="43" t="str"/>
      <x:c r="X150" s="43" t="str"/>
      <x:c r="Y150" s="43" t="str"/>
      <x:c r="Z150" s="43" t="str">
        <x:v>Practice-13E</x:v>
      </x:c>
    </x:row>
    <x:row r="151" ht="58" customHeight="1">
      <x:c r="A151" s="43" t="str">
        <x:v>PRA-13E-06</x:v>
      </x:c>
      <x:c r="B151" s="43" t="str">
        <x:v>PRA-13E</x:v>
      </x:c>
      <x:c r="C151" s="43" t="n">
        <x:v>13</x:v>
      </x:c>
      <x:c r="D151" s="43" t="str">
        <x:v>13E</x:v>
      </x:c>
      <x:c r="E151" s="43" t="str">
        <x:v>Work Item</x:v>
      </x:c>
      <x:c r="F151" s="43" t="str">
        <x:v>Task</x:v>
      </x:c>
      <x:c r="G151" s="43" t="str">
        <x:v>Phase 14 immutable report context adapter</x:v>
      </x:c>
      <x:c r="H151" s="43" t="str">
        <x:v>Result Detail</x:v>
      </x:c>
      <x:c r="I151" s="43" t="str">
        <x:v>Backlog</x:v>
      </x:c>
      <x:c r="J151" s="43" t="str">
        <x:v>NOT_STARTED</x:v>
      </x:c>
      <x:c r="K151" s="43" t="str">
        <x:v>Medium</x:v>
      </x:c>
      <x:c r="L151" s="43" t="str">
        <x:v>Informational</x:v>
      </x:c>
      <x:c r="M151" s="43" t="str">
        <x:v>Current Contract</x:v>
      </x:c>
      <x:c r="N151" s="43" t="str">
        <x:v>Yes</x:v>
      </x:c>
      <x:c r="O151" s="43" t="str"/>
      <x:c r="P151" s="43" t="str"/>
      <x:c r="Q151" s="43" t="str"/>
      <x:c r="R151" s="43" t="str"/>
      <x:c r="S151" s="43" t="str"/>
      <x:c r="T151" s="43" t="str">
        <x:v>PRACTICE_PHASE_10_16_EXECUTION_BLUEPRINT.md §13E</x:v>
      </x:c>
      <x:c r="U151" s="43" t="str">
        <x:v>practice</x:v>
      </x:c>
      <x:c r="V151" s="43" t="str">
        <x:v>Practice Result</x:v>
      </x:c>
      <x:c r="W151" s="43" t="str"/>
      <x:c r="X151" s="43" t="str"/>
      <x:c r="Y151" s="43" t="str"/>
      <x:c r="Z151" s="43" t="str">
        <x:v>Practice-13E</x:v>
      </x:c>
    </x:row>
    <x:row r="152" ht="58" customHeight="1">
      <x:c r="A152" s="43" t="str">
        <x:v>PRA-13E-07</x:v>
      </x:c>
      <x:c r="B152" s="43" t="str">
        <x:v>PRA-13E</x:v>
      </x:c>
      <x:c r="C152" s="43" t="n">
        <x:v>13</x:v>
      </x:c>
      <x:c r="D152" s="43" t="str">
        <x:v>13E</x:v>
      </x:c>
      <x:c r="E152" s="43" t="str">
        <x:v>Work Item</x:v>
      </x:c>
      <x:c r="F152" s="43" t="str">
        <x:v>Task</x:v>
      </x:c>
      <x:c r="G152" s="43" t="str">
        <x:v>Replacement proof for legacy detail surfaces</x:v>
      </x:c>
      <x:c r="H152" s="43" t="str">
        <x:v>Result Detail</x:v>
      </x:c>
      <x:c r="I152" s="43" t="str">
        <x:v>Backlog</x:v>
      </x:c>
      <x:c r="J152" s="43" t="str">
        <x:v>NOT_STARTED</x:v>
      </x:c>
      <x:c r="K152" s="43" t="str">
        <x:v>Medium</x:v>
      </x:c>
      <x:c r="L152" s="43" t="str">
        <x:v>Informational</x:v>
      </x:c>
      <x:c r="M152" s="43" t="str">
        <x:v>Current Contract</x:v>
      </x:c>
      <x:c r="N152" s="43" t="str">
        <x:v>Yes</x:v>
      </x:c>
      <x:c r="O152" s="43" t="str"/>
      <x:c r="P152" s="43" t="str"/>
      <x:c r="Q152" s="43" t="str"/>
      <x:c r="R152" s="43" t="str"/>
      <x:c r="S152" s="43" t="str"/>
      <x:c r="T152" s="43" t="str">
        <x:v>PRACTICE_PHASE_10_16_EXECUTION_BLUEPRINT.md §13E</x:v>
      </x:c>
      <x:c r="U152" s="43" t="str">
        <x:v>practice</x:v>
      </x:c>
      <x:c r="V152" s="43" t="str">
        <x:v>Practice Result</x:v>
      </x:c>
      <x:c r="W152" s="43" t="str"/>
      <x:c r="X152" s="43" t="str"/>
      <x:c r="Y152" s="43" t="str"/>
      <x:c r="Z152" s="43" t="str">
        <x:v>Practice-13E</x:v>
      </x:c>
    </x:row>
    <x:row r="153" ht="58" customHeight="1">
      <x:c r="A153" s="43" t="str">
        <x:v>PRA-13F</x:v>
      </x:c>
      <x:c r="B153" s="43" t="str">
        <x:v>PRA-PROGRAM</x:v>
      </x:c>
      <x:c r="C153" s="43" t="n">
        <x:v>13</x:v>
      </x:c>
      <x:c r="D153" s="43" t="str">
        <x:v>13F</x:v>
      </x:c>
      <x:c r="E153" s="43" t="str">
        <x:v>Epic</x:v>
      </x:c>
      <x:c r="F153" s="43" t="str">
        <x:v>Epic</x:v>
      </x:c>
      <x:c r="G153" s="43" t="str">
        <x:v>Progress, Profile &amp; Operational Recovery</x:v>
      </x:c>
      <x:c r="H153" s="43" t="str">
        <x:v>Progress &amp; Recovery</x:v>
      </x:c>
      <x:c r="I153" s="43" t="str">
        <x:v>Backlog</x:v>
      </x:c>
      <x:c r="J153" s="43" t="str">
        <x:v>NOT_STARTED</x:v>
      </x:c>
      <x:c r="K153" s="43" t="str">
        <x:v>Medium</x:v>
      </x:c>
      <x:c r="L153" s="43" t="str">
        <x:v>Informational</x:v>
      </x:c>
      <x:c r="M153" s="43" t="str">
        <x:v>Current Contract</x:v>
      </x:c>
      <x:c r="N153" s="43" t="str">
        <x:v>Yes</x:v>
      </x:c>
      <x:c r="O153" s="43" t="str">
        <x:v>PRA-13D,PRA-13E</x:v>
      </x:c>
      <x:c r="P153" s="43" t="str">
        <x:v>Real aggregates and recovery UX reusing 13D lifecycle.</x:v>
      </x:c>
      <x:c r="Q153" s="43" t="str">
        <x:v>No decorative percentages; refresh does not call provider; sample/recency/confidence visible.</x:v>
      </x:c>
      <x:c r="R153" s="43" t="str"/>
      <x:c r="S153" s="43" t="str"/>
      <x:c r="T153" s="43" t="str">
        <x:v>PRACTICE_PHASE_10_16_EXECUTION_BLUEPRINT.md §13F</x:v>
      </x:c>
      <x:c r="U153" s="43" t="str">
        <x:v>practice</x:v>
      </x:c>
      <x:c r="V153" s="43" t="str">
        <x:v>Practice Progress</x:v>
      </x:c>
      <x:c r="W153" s="43" t="str"/>
      <x:c r="X153" s="43" t="str"/>
      <x:c r="Y153" s="43" t="str"/>
      <x:c r="Z153" s="43" t="str">
        <x:v>Practice-13F</x:v>
      </x:c>
    </x:row>
    <x:row r="154" ht="58" customHeight="1">
      <x:c r="A154" s="43" t="str">
        <x:v>PRA-13F-01</x:v>
      </x:c>
      <x:c r="B154" s="43" t="str">
        <x:v>PRA-13F</x:v>
      </x:c>
      <x:c r="C154" s="43" t="n">
        <x:v>13</x:v>
      </x:c>
      <x:c r="D154" s="43" t="str">
        <x:v>13F</x:v>
      </x:c>
      <x:c r="E154" s="43" t="str">
        <x:v>Work Item</x:v>
      </x:c>
      <x:c r="F154" s="43" t="str">
        <x:v>Story</x:v>
      </x:c>
      <x:c r="G154" s="43" t="str">
        <x:v>Immutable skill and Writing-task aggregation</x:v>
      </x:c>
      <x:c r="H154" s="43" t="str">
        <x:v>Progress &amp; Recovery</x:v>
      </x:c>
      <x:c r="I154" s="43" t="str">
        <x:v>Backlog</x:v>
      </x:c>
      <x:c r="J154" s="43" t="str">
        <x:v>NOT_STARTED</x:v>
      </x:c>
      <x:c r="K154" s="43" t="str">
        <x:v>Medium</x:v>
      </x:c>
      <x:c r="L154" s="43" t="str">
        <x:v>Informational</x:v>
      </x:c>
      <x:c r="M154" s="43" t="str">
        <x:v>Current Contract</x:v>
      </x:c>
      <x:c r="N154" s="43" t="str">
        <x:v>Yes</x:v>
      </x:c>
      <x:c r="O154" s="43" t="str"/>
      <x:c r="P154" s="43" t="str"/>
      <x:c r="Q154" s="43" t="str"/>
      <x:c r="R154" s="43" t="str"/>
      <x:c r="S154" s="43" t="str"/>
      <x:c r="T154" s="43" t="str">
        <x:v>PRACTICE_PHASE_10_16_EXECUTION_BLUEPRINT.md §13F</x:v>
      </x:c>
      <x:c r="U154" s="43" t="str">
        <x:v>practice</x:v>
      </x:c>
      <x:c r="V154" s="43" t="str">
        <x:v>Practice Progress</x:v>
      </x:c>
      <x:c r="W154" s="43" t="str"/>
      <x:c r="X154" s="43" t="str"/>
      <x:c r="Y154" s="43" t="str"/>
      <x:c r="Z154" s="43" t="str">
        <x:v>Practice-13F</x:v>
      </x:c>
    </x:row>
    <x:row r="155" ht="58" customHeight="1">
      <x:c r="A155" s="43" t="str">
        <x:v>PRA-13F-02</x:v>
      </x:c>
      <x:c r="B155" s="43" t="str">
        <x:v>PRA-13F</x:v>
      </x:c>
      <x:c r="C155" s="43" t="n">
        <x:v>13</x:v>
      </x:c>
      <x:c r="D155" s="43" t="str">
        <x:v>13F</x:v>
      </x:c>
      <x:c r="E155" s="43" t="str">
        <x:v>Work Item</x:v>
      </x:c>
      <x:c r="F155" s="43" t="str">
        <x:v>Task</x:v>
      </x:c>
      <x:c r="G155" s="43" t="str">
        <x:v>Partial, pending, unavailable and legacy semantics</x:v>
      </x:c>
      <x:c r="H155" s="43" t="str">
        <x:v>Progress &amp; Recovery</x:v>
      </x:c>
      <x:c r="I155" s="43" t="str">
        <x:v>Backlog</x:v>
      </x:c>
      <x:c r="J155" s="43" t="str">
        <x:v>NOT_STARTED</x:v>
      </x:c>
      <x:c r="K155" s="43" t="str">
        <x:v>Medium</x:v>
      </x:c>
      <x:c r="L155" s="43" t="str">
        <x:v>Informational</x:v>
      </x:c>
      <x:c r="M155" s="43" t="str">
        <x:v>Current Contract</x:v>
      </x:c>
      <x:c r="N155" s="43" t="str">
        <x:v>Yes</x:v>
      </x:c>
      <x:c r="O155" s="43" t="str"/>
      <x:c r="P155" s="43" t="str"/>
      <x:c r="Q155" s="43" t="str"/>
      <x:c r="R155" s="43" t="str"/>
      <x:c r="S155" s="43" t="str"/>
      <x:c r="T155" s="43" t="str">
        <x:v>PRACTICE_PHASE_10_16_EXECUTION_BLUEPRINT.md §13F</x:v>
      </x:c>
      <x:c r="U155" s="43" t="str">
        <x:v>practice</x:v>
      </x:c>
      <x:c r="V155" s="43" t="str">
        <x:v>Practice Progress</x:v>
      </x:c>
      <x:c r="W155" s="43" t="str"/>
      <x:c r="X155" s="43" t="str"/>
      <x:c r="Y155" s="43" t="str"/>
      <x:c r="Z155" s="43" t="str">
        <x:v>Practice-13F</x:v>
      </x:c>
    </x:row>
    <x:row r="156" ht="58" customHeight="1">
      <x:c r="A156" s="43" t="str">
        <x:v>PRA-13F-03</x:v>
      </x:c>
      <x:c r="B156" s="43" t="str">
        <x:v>PRA-13F</x:v>
      </x:c>
      <x:c r="C156" s="43" t="n">
        <x:v>13</x:v>
      </x:c>
      <x:c r="D156" s="43" t="str">
        <x:v>13F</x:v>
      </x:c>
      <x:c r="E156" s="43" t="str">
        <x:v>Work Item</x:v>
      </x:c>
      <x:c r="F156" s="43" t="str">
        <x:v>Story</x:v>
      </x:c>
      <x:c r="G156" s="43" t="str">
        <x:v>Trends and heatmaps with sample/recency/confidence</x:v>
      </x:c>
      <x:c r="H156" s="43" t="str">
        <x:v>Progress &amp; Recovery</x:v>
      </x:c>
      <x:c r="I156" s="43" t="str">
        <x:v>Backlog</x:v>
      </x:c>
      <x:c r="J156" s="43" t="str">
        <x:v>NOT_STARTED</x:v>
      </x:c>
      <x:c r="K156" s="43" t="str">
        <x:v>Medium</x:v>
      </x:c>
      <x:c r="L156" s="43" t="str">
        <x:v>Informational</x:v>
      </x:c>
      <x:c r="M156" s="43" t="str">
        <x:v>Current Contract</x:v>
      </x:c>
      <x:c r="N156" s="43" t="str">
        <x:v>Yes</x:v>
      </x:c>
      <x:c r="O156" s="43" t="str"/>
      <x:c r="P156" s="43" t="str"/>
      <x:c r="Q156" s="43" t="str"/>
      <x:c r="R156" s="43" t="str"/>
      <x:c r="S156" s="43" t="str"/>
      <x:c r="T156" s="43" t="str">
        <x:v>PRACTICE_PHASE_10_16_EXECUTION_BLUEPRINT.md §13F</x:v>
      </x:c>
      <x:c r="U156" s="43" t="str">
        <x:v>practice</x:v>
      </x:c>
      <x:c r="V156" s="43" t="str">
        <x:v>Practice Progress</x:v>
      </x:c>
      <x:c r="W156" s="43" t="str"/>
      <x:c r="X156" s="43" t="str"/>
      <x:c r="Y156" s="43" t="str"/>
      <x:c r="Z156" s="43" t="str">
        <x:v>Practice-13F</x:v>
      </x:c>
    </x:row>
    <x:row r="157" ht="58" customHeight="1">
      <x:c r="A157" s="43" t="str">
        <x:v>PRA-13F-04</x:v>
      </x:c>
      <x:c r="B157" s="43" t="str">
        <x:v>PRA-13F</x:v>
      </x:c>
      <x:c r="C157" s="43" t="n">
        <x:v>13</x:v>
      </x:c>
      <x:c r="D157" s="43" t="str">
        <x:v>13F</x:v>
      </x:c>
      <x:c r="E157" s="43" t="str">
        <x:v>Work Item</x:v>
      </x:c>
      <x:c r="F157" s="43" t="str">
        <x:v>Story</x:v>
      </x:c>
      <x:c r="G157" s="43" t="str">
        <x:v>Practice-more deep links and filter states</x:v>
      </x:c>
      <x:c r="H157" s="43" t="str">
        <x:v>Progress &amp; Recovery</x:v>
      </x:c>
      <x:c r="I157" s="43" t="str">
        <x:v>Backlog</x:v>
      </x:c>
      <x:c r="J157" s="43" t="str">
        <x:v>NOT_STARTED</x:v>
      </x:c>
      <x:c r="K157" s="43" t="str">
        <x:v>Medium</x:v>
      </x:c>
      <x:c r="L157" s="43" t="str">
        <x:v>Informational</x:v>
      </x:c>
      <x:c r="M157" s="43" t="str">
        <x:v>Current Contract</x:v>
      </x:c>
      <x:c r="N157" s="43" t="str">
        <x:v>Yes</x:v>
      </x:c>
      <x:c r="O157" s="43" t="str"/>
      <x:c r="P157" s="43" t="str"/>
      <x:c r="Q157" s="43" t="str"/>
      <x:c r="R157" s="43" t="str"/>
      <x:c r="S157" s="43" t="str"/>
      <x:c r="T157" s="43" t="str">
        <x:v>PRACTICE_PHASE_10_16_EXECUTION_BLUEPRINT.md §13F</x:v>
      </x:c>
      <x:c r="U157" s="43" t="str">
        <x:v>practice</x:v>
      </x:c>
      <x:c r="V157" s="43" t="str">
        <x:v>Practice Progress</x:v>
      </x:c>
      <x:c r="W157" s="43" t="str"/>
      <x:c r="X157" s="43" t="str"/>
      <x:c r="Y157" s="43" t="str"/>
      <x:c r="Z157" s="43" t="str">
        <x:v>Practice-13F</x:v>
      </x:c>
    </x:row>
    <x:row r="158" ht="58" customHeight="1">
      <x:c r="A158" s="43" t="str">
        <x:v>PRA-13F-05</x:v>
      </x:c>
      <x:c r="B158" s="43" t="str">
        <x:v>PRA-13F</x:v>
      </x:c>
      <x:c r="C158" s="43" t="n">
        <x:v>13</x:v>
      </x:c>
      <x:c r="D158" s="43" t="str">
        <x:v>13F</x:v>
      </x:c>
      <x:c r="E158" s="43" t="str">
        <x:v>Work Item</x:v>
      </x:c>
      <x:c r="F158" s="43" t="str">
        <x:v>Story</x:v>
      </x:c>
      <x:c r="G158" s="43" t="str">
        <x:v>Explanation status/retry UX using 13D command</x:v>
      </x:c>
      <x:c r="H158" s="43" t="str">
        <x:v>Progress &amp; Recovery</x:v>
      </x:c>
      <x:c r="I158" s="43" t="str">
        <x:v>Backlog</x:v>
      </x:c>
      <x:c r="J158" s="43" t="str">
        <x:v>NOT_STARTED</x:v>
      </x:c>
      <x:c r="K158" s="43" t="str">
        <x:v>Medium</x:v>
      </x:c>
      <x:c r="L158" s="43" t="str">
        <x:v>Informational</x:v>
      </x:c>
      <x:c r="M158" s="43" t="str">
        <x:v>Current Contract</x:v>
      </x:c>
      <x:c r="N158" s="43" t="str">
        <x:v>Yes</x:v>
      </x:c>
      <x:c r="O158" s="43" t="str"/>
      <x:c r="P158" s="43" t="str"/>
      <x:c r="Q158" s="43" t="str"/>
      <x:c r="R158" s="43" t="str"/>
      <x:c r="S158" s="43" t="str"/>
      <x:c r="T158" s="43" t="str">
        <x:v>PRACTICE_PHASE_10_16_EXECUTION_BLUEPRINT.md §13F</x:v>
      </x:c>
      <x:c r="U158" s="43" t="str">
        <x:v>practice</x:v>
      </x:c>
      <x:c r="V158" s="43" t="str">
        <x:v>Practice Progress</x:v>
      </x:c>
      <x:c r="W158" s="43" t="str"/>
      <x:c r="X158" s="43" t="str"/>
      <x:c r="Y158" s="43" t="str"/>
      <x:c r="Z158" s="43" t="str">
        <x:v>Practice-13F</x:v>
      </x:c>
    </x:row>
    <x:row r="159" ht="58" customHeight="1">
      <x:c r="A159" s="43" t="str">
        <x:v>PRA-13F-06</x:v>
      </x:c>
      <x:c r="B159" s="43" t="str">
        <x:v>PRA-13F</x:v>
      </x:c>
      <x:c r="C159" s="43" t="n">
        <x:v>13</x:v>
      </x:c>
      <x:c r="D159" s="43" t="str">
        <x:v>13F</x:v>
      </x:c>
      <x:c r="E159" s="43" t="str">
        <x:v>Work Item</x:v>
      </x:c>
      <x:c r="F159" s="43" t="str">
        <x:v>Task</x:v>
      </x:c>
      <x:c r="G159" s="43" t="str">
        <x:v>Bounded query and performance contract</x:v>
      </x:c>
      <x:c r="H159" s="43" t="str">
        <x:v>Progress &amp; Recovery</x:v>
      </x:c>
      <x:c r="I159" s="43" t="str">
        <x:v>Backlog</x:v>
      </x:c>
      <x:c r="J159" s="43" t="str">
        <x:v>NOT_STARTED</x:v>
      </x:c>
      <x:c r="K159" s="43" t="str">
        <x:v>Medium</x:v>
      </x:c>
      <x:c r="L159" s="43" t="str">
        <x:v>Informational</x:v>
      </x:c>
      <x:c r="M159" s="43" t="str">
        <x:v>Current Contract</x:v>
      </x:c>
      <x:c r="N159" s="43" t="str">
        <x:v>Yes</x:v>
      </x:c>
      <x:c r="O159" s="43" t="str"/>
      <x:c r="P159" s="43" t="str"/>
      <x:c r="Q159" s="43" t="str"/>
      <x:c r="R159" s="43" t="str"/>
      <x:c r="S159" s="43" t="str"/>
      <x:c r="T159" s="43" t="str">
        <x:v>PRACTICE_PHASE_10_16_EXECUTION_BLUEPRINT.md §13F</x:v>
      </x:c>
      <x:c r="U159" s="43" t="str">
        <x:v>practice</x:v>
      </x:c>
      <x:c r="V159" s="43" t="str">
        <x:v>Practice Progress</x:v>
      </x:c>
      <x:c r="W159" s="43" t="str"/>
      <x:c r="X159" s="43" t="str"/>
      <x:c r="Y159" s="43" t="str"/>
      <x:c r="Z159" s="43" t="str">
        <x:v>Practice-13F</x:v>
      </x:c>
    </x:row>
    <x:row r="160" ht="58" customHeight="1">
      <x:c r="A160" s="43" t="str">
        <x:v>PRA-13G</x:v>
      </x:c>
      <x:c r="B160" s="43" t="str">
        <x:v>PRA-PROGRAM</x:v>
      </x:c>
      <x:c r="C160" s="43" t="n">
        <x:v>13</x:v>
      </x:c>
      <x:c r="D160" s="43" t="str">
        <x:v>13G</x:v>
      </x:c>
      <x:c r="E160" s="43" t="str">
        <x:v>Epic</x:v>
      </x:c>
      <x:c r="F160" s="43" t="str">
        <x:v>Epic</x:v>
      </x:c>
      <x:c r="G160" s="43" t="str">
        <x:v>Responsive, Accessibility &amp; Performance</x:v>
      </x:c>
      <x:c r="H160" s="43" t="str">
        <x:v>Quality</x:v>
      </x:c>
      <x:c r="I160" s="43" t="str">
        <x:v>Backlog</x:v>
      </x:c>
      <x:c r="J160" s="43" t="str">
        <x:v>NOT_STARTED</x:v>
      </x:c>
      <x:c r="K160" s="43" t="str">
        <x:v>Medium</x:v>
      </x:c>
      <x:c r="L160" s="43" t="str">
        <x:v>Informational</x:v>
      </x:c>
      <x:c r="M160" s="43" t="str">
        <x:v>Current Contract</x:v>
      </x:c>
      <x:c r="N160" s="43" t="str">
        <x:v>Yes</x:v>
      </x:c>
      <x:c r="O160" s="43" t="str">
        <x:v>PRA-13F</x:v>
      </x:c>
      <x:c r="P160" s="43" t="str">
        <x:v>UTF-8, icons, accessibility, responsive và scale sweep.</x:v>
      </x:c>
      <x:c r="Q160" s="43" t="str">
        <x:v>No mojibake/overlap; keyboard/screen reader/contrast/reduced motion; realistic load review.</x:v>
      </x:c>
      <x:c r="R160" s="43" t="str"/>
      <x:c r="S160" s="43" t="str"/>
      <x:c r="T160" s="43" t="str">
        <x:v>PRACTICE_PHASE_10_16_EXECUTION_BLUEPRINT.md §13G</x:v>
      </x:c>
      <x:c r="U160" s="43" t="str">
        <x:v>practice</x:v>
      </x:c>
      <x:c r="V160" s="43" t="str">
        <x:v>Practice UI/Accessibility</x:v>
      </x:c>
      <x:c r="W160" s="43" t="str"/>
      <x:c r="X160" s="43" t="str"/>
      <x:c r="Y160" s="43" t="str"/>
      <x:c r="Z160" s="43" t="str">
        <x:v>Practice-13G</x:v>
      </x:c>
    </x:row>
    <x:row r="161" ht="58" customHeight="1">
      <x:c r="A161" s="43" t="str">
        <x:v>PRA-13G-01</x:v>
      </x:c>
      <x:c r="B161" s="43" t="str">
        <x:v>PRA-13G</x:v>
      </x:c>
      <x:c r="C161" s="43" t="n">
        <x:v>13</x:v>
      </x:c>
      <x:c r="D161" s="43" t="str">
        <x:v>13G</x:v>
      </x:c>
      <x:c r="E161" s="43" t="str">
        <x:v>Work Item</x:v>
      </x:c>
      <x:c r="F161" s="43" t="str">
        <x:v>Task</x:v>
      </x:c>
      <x:c r="G161" s="43" t="str">
        <x:v>UTF-8 and mojibake end-to-end sweep</x:v>
      </x:c>
      <x:c r="H161" s="43" t="str">
        <x:v>Quality</x:v>
      </x:c>
      <x:c r="I161" s="43" t="str">
        <x:v>Backlog</x:v>
      </x:c>
      <x:c r="J161" s="43" t="str">
        <x:v>NOT_STARTED</x:v>
      </x:c>
      <x:c r="K161" s="43" t="str">
        <x:v>Medium</x:v>
      </x:c>
      <x:c r="L161" s="43" t="str">
        <x:v>Informational</x:v>
      </x:c>
      <x:c r="M161" s="43" t="str">
        <x:v>Current Contract</x:v>
      </x:c>
      <x:c r="N161" s="43" t="str">
        <x:v>Yes</x:v>
      </x:c>
      <x:c r="O161" s="43" t="str"/>
      <x:c r="P161" s="43" t="str"/>
      <x:c r="Q161" s="43" t="str"/>
      <x:c r="R161" s="43" t="str"/>
      <x:c r="S161" s="43" t="str"/>
      <x:c r="T161" s="43" t="str">
        <x:v>PRACTICE_PHASE_10_16_EXECUTION_BLUEPRINT.md §13G</x:v>
      </x:c>
      <x:c r="U161" s="43" t="str">
        <x:v>practice</x:v>
      </x:c>
      <x:c r="V161" s="43" t="str">
        <x:v>Practice UI/Accessibility</x:v>
      </x:c>
      <x:c r="W161" s="43" t="str"/>
      <x:c r="X161" s="43" t="str"/>
      <x:c r="Y161" s="43" t="str"/>
      <x:c r="Z161" s="43" t="str">
        <x:v>Practice-13G</x:v>
      </x:c>
    </x:row>
    <x:row r="162" ht="58" customHeight="1">
      <x:c r="A162" s="43" t="str">
        <x:v>PRA-13G-02</x:v>
      </x:c>
      <x:c r="B162" s="43" t="str">
        <x:v>PRA-13G</x:v>
      </x:c>
      <x:c r="C162" s="43" t="n">
        <x:v>13</x:v>
      </x:c>
      <x:c r="D162" s="43" t="str">
        <x:v>13G</x:v>
      </x:c>
      <x:c r="E162" s="43" t="str">
        <x:v>Work Item</x:v>
      </x:c>
      <x:c r="F162" s="43" t="str">
        <x:v>Task</x:v>
      </x:c>
      <x:c r="G162" s="43" t="str">
        <x:v>Consistent SVG/Lucide icon system</x:v>
      </x:c>
      <x:c r="H162" s="43" t="str">
        <x:v>Quality</x:v>
      </x:c>
      <x:c r="I162" s="43" t="str">
        <x:v>Backlog</x:v>
      </x:c>
      <x:c r="J162" s="43" t="str">
        <x:v>NOT_STARTED</x:v>
      </x:c>
      <x:c r="K162" s="43" t="str">
        <x:v>Medium</x:v>
      </x:c>
      <x:c r="L162" s="43" t="str">
        <x:v>Informational</x:v>
      </x:c>
      <x:c r="M162" s="43" t="str">
        <x:v>Current Contract</x:v>
      </x:c>
      <x:c r="N162" s="43" t="str">
        <x:v>Yes</x:v>
      </x:c>
      <x:c r="O162" s="43" t="str"/>
      <x:c r="P162" s="43" t="str"/>
      <x:c r="Q162" s="43" t="str"/>
      <x:c r="R162" s="43" t="str"/>
      <x:c r="S162" s="43" t="str"/>
      <x:c r="T162" s="43" t="str">
        <x:v>PRACTICE_PHASE_10_16_EXECUTION_BLUEPRINT.md §13G</x:v>
      </x:c>
      <x:c r="U162" s="43" t="str">
        <x:v>practice</x:v>
      </x:c>
      <x:c r="V162" s="43" t="str">
        <x:v>Practice UI/Accessibility</x:v>
      </x:c>
      <x:c r="W162" s="43" t="str"/>
      <x:c r="X162" s="43" t="str"/>
      <x:c r="Y162" s="43" t="str"/>
      <x:c r="Z162" s="43" t="str">
        <x:v>Practice-13G</x:v>
      </x:c>
    </x:row>
    <x:row r="163" ht="58" customHeight="1">
      <x:c r="A163" s="43" t="str">
        <x:v>PRA-13G-03</x:v>
      </x:c>
      <x:c r="B163" s="43" t="str">
        <x:v>PRA-13G</x:v>
      </x:c>
      <x:c r="C163" s="43" t="n">
        <x:v>13</x:v>
      </x:c>
      <x:c r="D163" s="43" t="str">
        <x:v>13G</x:v>
      </x:c>
      <x:c r="E163" s="43" t="str">
        <x:v>Work Item</x:v>
      </x:c>
      <x:c r="F163" s="43" t="str">
        <x:v>Task</x:v>
      </x:c>
      <x:c r="G163" s="43" t="str">
        <x:v>Keyboard, screen reader, contrast and reduced motion</x:v>
      </x:c>
      <x:c r="H163" s="43" t="str">
        <x:v>Quality</x:v>
      </x:c>
      <x:c r="I163" s="43" t="str">
        <x:v>Backlog</x:v>
      </x:c>
      <x:c r="J163" s="43" t="str">
        <x:v>NOT_STARTED</x:v>
      </x:c>
      <x:c r="K163" s="43" t="str">
        <x:v>Medium</x:v>
      </x:c>
      <x:c r="L163" s="43" t="str">
        <x:v>Informational</x:v>
      </x:c>
      <x:c r="M163" s="43" t="str">
        <x:v>Current Contract</x:v>
      </x:c>
      <x:c r="N163" s="43" t="str">
        <x:v>Yes</x:v>
      </x:c>
      <x:c r="O163" s="43" t="str"/>
      <x:c r="P163" s="43" t="str"/>
      <x:c r="Q163" s="43" t="str"/>
      <x:c r="R163" s="43" t="str"/>
      <x:c r="S163" s="43" t="str"/>
      <x:c r="T163" s="43" t="str">
        <x:v>PRACTICE_PHASE_10_16_EXECUTION_BLUEPRINT.md §13G</x:v>
      </x:c>
      <x:c r="U163" s="43" t="str">
        <x:v>practice</x:v>
      </x:c>
      <x:c r="V163" s="43" t="str">
        <x:v>Practice UI/Accessibility</x:v>
      </x:c>
      <x:c r="W163" s="43" t="str"/>
      <x:c r="X163" s="43" t="str"/>
      <x:c r="Y163" s="43" t="str"/>
      <x:c r="Z163" s="43" t="str">
        <x:v>Practice-13G</x:v>
      </x:c>
    </x:row>
    <x:row r="164" ht="58" customHeight="1">
      <x:c r="A164" s="43" t="str">
        <x:v>PRA-13G-04</x:v>
      </x:c>
      <x:c r="B164" s="43" t="str">
        <x:v>PRA-13G</x:v>
      </x:c>
      <x:c r="C164" s="43" t="n">
        <x:v>13</x:v>
      </x:c>
      <x:c r="D164" s="43" t="str">
        <x:v>13G</x:v>
      </x:c>
      <x:c r="E164" s="43" t="str">
        <x:v>Work Item</x:v>
      </x:c>
      <x:c r="F164" s="43" t="str">
        <x:v>Task</x:v>
      </x:c>
      <x:c r="G164" s="43" t="str">
        <x:v>Desktop/mobile overlap matrix</x:v>
      </x:c>
      <x:c r="H164" s="43" t="str">
        <x:v>Quality</x:v>
      </x:c>
      <x:c r="I164" s="43" t="str">
        <x:v>Backlog</x:v>
      </x:c>
      <x:c r="J164" s="43" t="str">
        <x:v>NOT_STARTED</x:v>
      </x:c>
      <x:c r="K164" s="43" t="str">
        <x:v>Medium</x:v>
      </x:c>
      <x:c r="L164" s="43" t="str">
        <x:v>Informational</x:v>
      </x:c>
      <x:c r="M164" s="43" t="str">
        <x:v>Current Contract</x:v>
      </x:c>
      <x:c r="N164" s="43" t="str">
        <x:v>Yes</x:v>
      </x:c>
      <x:c r="O164" s="43" t="str"/>
      <x:c r="P164" s="43" t="str"/>
      <x:c r="Q164" s="43" t="str"/>
      <x:c r="R164" s="43" t="str"/>
      <x:c r="S164" s="43" t="str"/>
      <x:c r="T164" s="43" t="str">
        <x:v>PRACTICE_PHASE_10_16_EXECUTION_BLUEPRINT.md §13G</x:v>
      </x:c>
      <x:c r="U164" s="43" t="str">
        <x:v>practice</x:v>
      </x:c>
      <x:c r="V164" s="43" t="str">
        <x:v>Practice UI/Accessibility</x:v>
      </x:c>
      <x:c r="W164" s="43" t="str"/>
      <x:c r="X164" s="43" t="str"/>
      <x:c r="Y164" s="43" t="str"/>
      <x:c r="Z164" s="43" t="str">
        <x:v>Practice-13G</x:v>
      </x:c>
    </x:row>
    <x:row r="165" ht="58" customHeight="1">
      <x:c r="A165" s="43" t="str">
        <x:v>PRA-13G-05</x:v>
      </x:c>
      <x:c r="B165" s="43" t="str">
        <x:v>PRA-13G</x:v>
      </x:c>
      <x:c r="C165" s="43" t="n">
        <x:v>13</x:v>
      </x:c>
      <x:c r="D165" s="43" t="str">
        <x:v>13G</x:v>
      </x:c>
      <x:c r="E165" s="43" t="str">
        <x:v>Work Item</x:v>
      </x:c>
      <x:c r="F165" s="43" t="str">
        <x:v>Task</x:v>
      </x:c>
      <x:c r="G165" s="43" t="str">
        <x:v>Large catalog/history query and index review</x:v>
      </x:c>
      <x:c r="H165" s="43" t="str">
        <x:v>Quality</x:v>
      </x:c>
      <x:c r="I165" s="43" t="str">
        <x:v>Backlog</x:v>
      </x:c>
      <x:c r="J165" s="43" t="str">
        <x:v>NOT_STARTED</x:v>
      </x:c>
      <x:c r="K165" s="43" t="str">
        <x:v>Medium</x:v>
      </x:c>
      <x:c r="L165" s="43" t="str">
        <x:v>Informational</x:v>
      </x:c>
      <x:c r="M165" s="43" t="str">
        <x:v>Current Contract</x:v>
      </x:c>
      <x:c r="N165" s="43" t="str">
        <x:v>Yes</x:v>
      </x:c>
      <x:c r="O165" s="43" t="str"/>
      <x:c r="P165" s="43" t="str"/>
      <x:c r="Q165" s="43" t="str"/>
      <x:c r="R165" s="43" t="str"/>
      <x:c r="S165" s="43" t="str"/>
      <x:c r="T165" s="43" t="str">
        <x:v>PRACTICE_PHASE_10_16_EXECUTION_BLUEPRINT.md §13G</x:v>
      </x:c>
      <x:c r="U165" s="43" t="str">
        <x:v>practice</x:v>
      </x:c>
      <x:c r="V165" s="43" t="str">
        <x:v>Practice UI/Accessibility</x:v>
      </x:c>
      <x:c r="W165" s="43" t="str"/>
      <x:c r="X165" s="43" t="str"/>
      <x:c r="Y165" s="43" t="str"/>
      <x:c r="Z165" s="43" t="str">
        <x:v>Practice-13G</x:v>
      </x:c>
    </x:row>
    <x:row r="166" ht="58" customHeight="1">
      <x:c r="A166" s="43" t="str">
        <x:v>PRA-13H</x:v>
      </x:c>
      <x:c r="B166" s="43" t="str">
        <x:v>PRA-PROGRAM</x:v>
      </x:c>
      <x:c r="C166" s="43" t="n">
        <x:v>13</x:v>
      </x:c>
      <x:c r="D166" s="43" t="str">
        <x:v>13H</x:v>
      </x:c>
      <x:c r="E166" s="43" t="str">
        <x:v>Epic</x:v>
      </x:c>
      <x:c r="F166" s="43" t="str">
        <x:v>Epic</x:v>
      </x:c>
      <x:c r="G166" s="43" t="str">
        <x:v>Phase 13 Stabilization &amp; Journey Gate</x:v>
      </x:c>
      <x:c r="H166" s="43" t="str">
        <x:v>Release Gate</x:v>
      </x:c>
      <x:c r="I166" s="43" t="str">
        <x:v>Backlog</x:v>
      </x:c>
      <x:c r="J166" s="43" t="str">
        <x:v>NOT_STARTED</x:v>
      </x:c>
      <x:c r="K166" s="43" t="str">
        <x:v>Highest</x:v>
      </x:c>
      <x:c r="L166" s="43" t="str">
        <x:v>Informational</x:v>
      </x:c>
      <x:c r="M166" s="43" t="str">
        <x:v>Current Contract</x:v>
      </x:c>
      <x:c r="N166" s="43" t="str">
        <x:v>Yes</x:v>
      </x:c>
      <x:c r="O166" s="43" t="str">
        <x:v>PRA-13D,PRA-13E,PRA-13F,PRA-13G</x:v>
      </x:c>
      <x:c r="P166" s="43" t="str">
        <x:v>Final route/test/browser/device closure for Phase 13.</x:v>
      </x:c>
      <x:c r="Q166" s="43" t="str">
        <x:v>All-skill journeys, negative states, no answer leak, automated and browser/device evidence green.</x:v>
      </x:c>
      <x:c r="R166" s="43" t="str"/>
      <x:c r="S166" s="43" t="str"/>
      <x:c r="T166" s="43" t="str">
        <x:v>PRACTICE_PHASE_10_16_EXECUTION_BLUEPRINT.md §13H</x:v>
      </x:c>
      <x:c r="U166" s="43" t="str">
        <x:v>practice</x:v>
      </x:c>
      <x:c r="V166" s="43" t="str">
        <x:v>Practice Quality Gate</x:v>
      </x:c>
      <x:c r="W166" s="43" t="str"/>
      <x:c r="X166" s="43" t="str"/>
      <x:c r="Y166" s="43" t="str"/>
      <x:c r="Z166" s="43" t="str">
        <x:v>Practice-13H</x:v>
      </x:c>
    </x:row>
    <x:row r="167" ht="58" customHeight="1">
      <x:c r="A167" s="43" t="str">
        <x:v>PRA-13H-01</x:v>
      </x:c>
      <x:c r="B167" s="43" t="str">
        <x:v>PRA-13H</x:v>
      </x:c>
      <x:c r="C167" s="43" t="n">
        <x:v>13</x:v>
      </x:c>
      <x:c r="D167" s="43" t="str">
        <x:v>13H</x:v>
      </x:c>
      <x:c r="E167" s="43" t="str">
        <x:v>Work Item</x:v>
      </x:c>
      <x:c r="F167" s="43" t="str">
        <x:v>Task</x:v>
      </x:c>
      <x:c r="G167" s="43" t="str">
        <x:v>Route/controller/template/script/dead-code audit</x:v>
      </x:c>
      <x:c r="H167" s="43" t="str">
        <x:v>Release Gate</x:v>
      </x:c>
      <x:c r="I167" s="43" t="str">
        <x:v>Backlog</x:v>
      </x:c>
      <x:c r="J167" s="43" t="str">
        <x:v>NOT_STARTED</x:v>
      </x:c>
      <x:c r="K167" s="43" t="str">
        <x:v>Medium</x:v>
      </x:c>
      <x:c r="L167" s="43" t="str">
        <x:v>Informational</x:v>
      </x:c>
      <x:c r="M167" s="43" t="str">
        <x:v>Current Contract</x:v>
      </x:c>
      <x:c r="N167" s="43" t="str">
        <x:v>Yes</x:v>
      </x:c>
      <x:c r="O167" s="43" t="str"/>
      <x:c r="P167" s="43" t="str"/>
      <x:c r="Q167" s="43" t="str"/>
      <x:c r="R167" s="43" t="str"/>
      <x:c r="S167" s="43" t="str"/>
      <x:c r="T167" s="43" t="str">
        <x:v>PRACTICE_PHASE_10_16_EXECUTION_BLUEPRINT.md §13H</x:v>
      </x:c>
      <x:c r="U167" s="43" t="str">
        <x:v>practice</x:v>
      </x:c>
      <x:c r="V167" s="43" t="str">
        <x:v>Practice Quality Gate</x:v>
      </x:c>
      <x:c r="W167" s="43" t="str"/>
      <x:c r="X167" s="43" t="str"/>
      <x:c r="Y167" s="43" t="str"/>
      <x:c r="Z167" s="43" t="str">
        <x:v>Practice-13H</x:v>
      </x:c>
    </x:row>
    <x:row r="168" ht="58" customHeight="1">
      <x:c r="A168" s="43" t="str">
        <x:v>PRA-13H-02</x:v>
      </x:c>
      <x:c r="B168" s="43" t="str">
        <x:v>PRA-13H</x:v>
      </x:c>
      <x:c r="C168" s="43" t="n">
        <x:v>13</x:v>
      </x:c>
      <x:c r="D168" s="43" t="str">
        <x:v>13H</x:v>
      </x:c>
      <x:c r="E168" s="43" t="str">
        <x:v>Work Item</x:v>
      </x:c>
      <x:c r="F168" s="43" t="str">
        <x:v>Task</x:v>
      </x:c>
      <x:c r="G168" s="43" t="str">
        <x:v>R/L three-type, Writing Q51-Q54 and Speaking E2E</x:v>
      </x:c>
      <x:c r="H168" s="43" t="str">
        <x:v>Release Gate</x:v>
      </x:c>
      <x:c r="I168" s="43" t="str">
        <x:v>Backlog</x:v>
      </x:c>
      <x:c r="J168" s="43" t="str">
        <x:v>NOT_STARTED</x:v>
      </x:c>
      <x:c r="K168" s="43" t="str">
        <x:v>Medium</x:v>
      </x:c>
      <x:c r="L168" s="43" t="str">
        <x:v>Informational</x:v>
      </x:c>
      <x:c r="M168" s="43" t="str">
        <x:v>Current Contract</x:v>
      </x:c>
      <x:c r="N168" s="43" t="str">
        <x:v>Yes</x:v>
      </x:c>
      <x:c r="O168" s="43" t="str"/>
      <x:c r="P168" s="43" t="str"/>
      <x:c r="Q168" s="43" t="str"/>
      <x:c r="R168" s="43" t="str"/>
      <x:c r="S168" s="43" t="str"/>
      <x:c r="T168" s="43" t="str">
        <x:v>PRACTICE_PHASE_10_16_EXECUTION_BLUEPRINT.md §13H</x:v>
      </x:c>
      <x:c r="U168" s="43" t="str">
        <x:v>practice</x:v>
      </x:c>
      <x:c r="V168" s="43" t="str">
        <x:v>Practice Quality Gate</x:v>
      </x:c>
      <x:c r="W168" s="43" t="str"/>
      <x:c r="X168" s="43" t="str"/>
      <x:c r="Y168" s="43" t="str"/>
      <x:c r="Z168" s="43" t="str">
        <x:v>Practice-13H</x:v>
      </x:c>
    </x:row>
    <x:row r="169" ht="58" customHeight="1">
      <x:c r="A169" s="43" t="str">
        <x:v>PRA-13H-03</x:v>
      </x:c>
      <x:c r="B169" s="43" t="str">
        <x:v>PRA-13H</x:v>
      </x:c>
      <x:c r="C169" s="43" t="n">
        <x:v>13</x:v>
      </x:c>
      <x:c r="D169" s="43" t="str">
        <x:v>13H</x:v>
      </x:c>
      <x:c r="E169" s="43" t="str">
        <x:v>Work Item</x:v>
      </x:c>
      <x:c r="F169" s="43" t="str">
        <x:v>Task</x:v>
      </x:c>
      <x:c r="G169" s="43" t="str">
        <x:v>Resume, retake, result, detail and progress journeys</x:v>
      </x:c>
      <x:c r="H169" s="43" t="str">
        <x:v>Release Gate</x:v>
      </x:c>
      <x:c r="I169" s="43" t="str">
        <x:v>Backlog</x:v>
      </x:c>
      <x:c r="J169" s="43" t="str">
        <x:v>NOT_STARTED</x:v>
      </x:c>
      <x:c r="K169" s="43" t="str">
        <x:v>Medium</x:v>
      </x:c>
      <x:c r="L169" s="43" t="str">
        <x:v>Informational</x:v>
      </x:c>
      <x:c r="M169" s="43" t="str">
        <x:v>Current Contract</x:v>
      </x:c>
      <x:c r="N169" s="43" t="str">
        <x:v>Yes</x:v>
      </x:c>
      <x:c r="O169" s="43" t="str"/>
      <x:c r="P169" s="43" t="str"/>
      <x:c r="Q169" s="43" t="str"/>
      <x:c r="R169" s="43" t="str"/>
      <x:c r="S169" s="43" t="str"/>
      <x:c r="T169" s="43" t="str">
        <x:v>PRACTICE_PHASE_10_16_EXECUTION_BLUEPRINT.md §13H</x:v>
      </x:c>
      <x:c r="U169" s="43" t="str">
        <x:v>practice</x:v>
      </x:c>
      <x:c r="V169" s="43" t="str">
        <x:v>Practice Quality Gate</x:v>
      </x:c>
      <x:c r="W169" s="43" t="str"/>
      <x:c r="X169" s="43" t="str"/>
      <x:c r="Y169" s="43" t="str"/>
      <x:c r="Z169" s="43" t="str">
        <x:v>Practice-13H</x:v>
      </x:c>
    </x:row>
    <x:row r="170" ht="58" customHeight="1">
      <x:c r="A170" s="43" t="str">
        <x:v>PRA-13H-04</x:v>
      </x:c>
      <x:c r="B170" s="43" t="str">
        <x:v>PRA-13H</x:v>
      </x:c>
      <x:c r="C170" s="43" t="n">
        <x:v>13</x:v>
      </x:c>
      <x:c r="D170" s="43" t="str">
        <x:v>13H</x:v>
      </x:c>
      <x:c r="E170" s="43" t="str">
        <x:v>Work Item</x:v>
      </x:c>
      <x:c r="F170" s="43" t="str">
        <x:v>Task</x:v>
      </x:c>
      <x:c r="G170" s="43" t="str">
        <x:v>Authorization, ownership and answer-leak regression</x:v>
      </x:c>
      <x:c r="H170" s="43" t="str">
        <x:v>Release Gate</x:v>
      </x:c>
      <x:c r="I170" s="43" t="str">
        <x:v>Backlog</x:v>
      </x:c>
      <x:c r="J170" s="43" t="str">
        <x:v>NOT_STARTED</x:v>
      </x:c>
      <x:c r="K170" s="43" t="str">
        <x:v>Medium</x:v>
      </x:c>
      <x:c r="L170" s="43" t="str">
        <x:v>Informational</x:v>
      </x:c>
      <x:c r="M170" s="43" t="str">
        <x:v>Current Contract</x:v>
      </x:c>
      <x:c r="N170" s="43" t="str">
        <x:v>Yes</x:v>
      </x:c>
      <x:c r="O170" s="43" t="str"/>
      <x:c r="P170" s="43" t="str"/>
      <x:c r="Q170" s="43" t="str"/>
      <x:c r="R170" s="43" t="str"/>
      <x:c r="S170" s="43" t="str"/>
      <x:c r="T170" s="43" t="str">
        <x:v>PRACTICE_PHASE_10_16_EXECUTION_BLUEPRINT.md §13H</x:v>
      </x:c>
      <x:c r="U170" s="43" t="str">
        <x:v>practice</x:v>
      </x:c>
      <x:c r="V170" s="43" t="str">
        <x:v>Practice Quality Gate</x:v>
      </x:c>
      <x:c r="W170" s="43" t="str"/>
      <x:c r="X170" s="43" t="str"/>
      <x:c r="Y170" s="43" t="str"/>
      <x:c r="Z170" s="43" t="str">
        <x:v>Practice-13H</x:v>
      </x:c>
    </x:row>
    <x:row r="171" ht="58" customHeight="1">
      <x:c r="A171" s="43" t="str">
        <x:v>PRA-13H-05</x:v>
      </x:c>
      <x:c r="B171" s="43" t="str">
        <x:v>PRA-13H</x:v>
      </x:c>
      <x:c r="C171" s="43" t="n">
        <x:v>13</x:v>
      </x:c>
      <x:c r="D171" s="43" t="str">
        <x:v>13H</x:v>
      </x:c>
      <x:c r="E171" s="43" t="str">
        <x:v>Work Item</x:v>
      </x:c>
      <x:c r="F171" s="43" t="str">
        <x:v>Task</x:v>
      </x:c>
      <x:c r="G171" s="43" t="str">
        <x:v>Browser/device/a11y/failure-state QA</x:v>
      </x:c>
      <x:c r="H171" s="43" t="str">
        <x:v>Release Gate</x:v>
      </x:c>
      <x:c r="I171" s="43" t="str">
        <x:v>Backlog</x:v>
      </x:c>
      <x:c r="J171" s="43" t="str">
        <x:v>NOT_STARTED</x:v>
      </x:c>
      <x:c r="K171" s="43" t="str">
        <x:v>Medium</x:v>
      </x:c>
      <x:c r="L171" s="43" t="str">
        <x:v>Informational</x:v>
      </x:c>
      <x:c r="M171" s="43" t="str">
        <x:v>Current Contract</x:v>
      </x:c>
      <x:c r="N171" s="43" t="str">
        <x:v>Yes</x:v>
      </x:c>
      <x:c r="O171" s="43" t="str"/>
      <x:c r="P171" s="43" t="str"/>
      <x:c r="Q171" s="43" t="str"/>
      <x:c r="R171" s="43" t="str"/>
      <x:c r="S171" s="43" t="str"/>
      <x:c r="T171" s="43" t="str">
        <x:v>PRACTICE_PHASE_10_16_EXECUTION_BLUEPRINT.md §13H</x:v>
      </x:c>
      <x:c r="U171" s="43" t="str">
        <x:v>practice</x:v>
      </x:c>
      <x:c r="V171" s="43" t="str">
        <x:v>Practice Quality Gate</x:v>
      </x:c>
      <x:c r="W171" s="43" t="str"/>
      <x:c r="X171" s="43" t="str"/>
      <x:c r="Y171" s="43" t="str"/>
      <x:c r="Z171" s="43" t="str">
        <x:v>Practice-13H</x:v>
      </x:c>
    </x:row>
    <x:row r="172" ht="58" customHeight="1">
      <x:c r="A172" s="43" t="str">
        <x:v>PRA-13H-06</x:v>
      </x:c>
      <x:c r="B172" s="43" t="str">
        <x:v>PRA-13H</x:v>
      </x:c>
      <x:c r="C172" s="43" t="n">
        <x:v>13</x:v>
      </x:c>
      <x:c r="D172" s="43" t="str">
        <x:v>13H</x:v>
      </x:c>
      <x:c r="E172" s="43" t="str">
        <x:v>Work Item</x:v>
      </x:c>
      <x:c r="F172" s="43" t="str">
        <x:v>Task</x:v>
      </x:c>
      <x:c r="G172" s="43" t="str">
        <x:v>Final suite and Phase 13 closure verdict</x:v>
      </x:c>
      <x:c r="H172" s="43" t="str">
        <x:v>Release Gate</x:v>
      </x:c>
      <x:c r="I172" s="43" t="str">
        <x:v>Backlog</x:v>
      </x:c>
      <x:c r="J172" s="43" t="str">
        <x:v>NOT_STARTED</x:v>
      </x:c>
      <x:c r="K172" s="43" t="str">
        <x:v>Medium</x:v>
      </x:c>
      <x:c r="L172" s="43" t="str">
        <x:v>Informational</x:v>
      </x:c>
      <x:c r="M172" s="43" t="str">
        <x:v>Current Contract</x:v>
      </x:c>
      <x:c r="N172" s="43" t="str">
        <x:v>Yes</x:v>
      </x:c>
      <x:c r="O172" s="43" t="str"/>
      <x:c r="P172" s="43" t="str"/>
      <x:c r="Q172" s="43" t="str"/>
      <x:c r="R172" s="43" t="str"/>
      <x:c r="S172" s="43" t="str"/>
      <x:c r="T172" s="43" t="str">
        <x:v>PRACTICE_PHASE_10_16_EXECUTION_BLUEPRINT.md §13H</x:v>
      </x:c>
      <x:c r="U172" s="43" t="str">
        <x:v>practice</x:v>
      </x:c>
      <x:c r="V172" s="43" t="str">
        <x:v>Practice Quality Gate</x:v>
      </x:c>
      <x:c r="W172" s="43" t="str"/>
      <x:c r="X172" s="43" t="str"/>
      <x:c r="Y172" s="43" t="str"/>
      <x:c r="Z172" s="43" t="str">
        <x:v>Practice-13H</x:v>
      </x:c>
    </x:row>
    <x:row r="173" ht="58" customHeight="1">
      <x:c r="A173" s="43" t="str">
        <x:v>PRA-14</x:v>
      </x:c>
      <x:c r="B173" s="43" t="str">
        <x:v>PRA-PROGRAM</x:v>
      </x:c>
      <x:c r="C173" s="43" t="n">
        <x:v>14</x:v>
      </x:c>
      <x:c r="D173" s="43" t="str">
        <x:v>14</x:v>
      </x:c>
      <x:c r="E173" s="43" t="str">
        <x:v>Epic</x:v>
      </x:c>
      <x:c r="F173" s="43" t="str">
        <x:v>Epic</x:v>
      </x:c>
      <x:c r="G173" s="43" t="str">
        <x:v>Report an Error &amp; Content Review</x:v>
      </x:c>
      <x:c r="H173" s="43" t="str">
        <x:v>Content Review</x:v>
      </x:c>
      <x:c r="I173" s="43" t="str">
        <x:v>Backlog</x:v>
      </x:c>
      <x:c r="J173" s="43" t="str">
        <x:v>NOT_STARTED</x:v>
      </x:c>
      <x:c r="K173" s="43" t="str">
        <x:v>Medium</x:v>
      </x:c>
      <x:c r="L173" s="43" t="str">
        <x:v>Informational</x:v>
      </x:c>
      <x:c r="M173" s="43" t="str">
        <x:v>Current Contract</x:v>
      </x:c>
      <x:c r="N173" s="43" t="str">
        <x:v>Yes</x:v>
      </x:c>
      <x:c r="O173" s="43" t="str">
        <x:v>PRA-13H</x:v>
      </x:c>
      <x:c r="P173" s="43" t="str">
        <x:v>Learner-visible content error report and reviewer correction loop.</x:v>
      </x:c>
      <x:c r="Q173" s="43" t="str">
        <x:v>Immutable report context, privacy, dedupe, new-version correction and E2E audit trail.</x:v>
      </x:c>
      <x:c r="R173" s="43" t="str"/>
      <x:c r="S173" s="43" t="str"/>
      <x:c r="T173" s="43" t="str">
        <x:v>PRACTICE_PHASE_10_16_EXECUTION_BLUEPRINT.md §Phase 14</x:v>
      </x:c>
      <x:c r="U173" s="43" t="str">
        <x:v>practice</x:v>
      </x:c>
      <x:c r="V173" s="43" t="str">
        <x:v>Practice Content Review</x:v>
      </x:c>
      <x:c r="W173" s="43" t="str"/>
      <x:c r="X173" s="43" t="str"/>
      <x:c r="Y173" s="43" t="str"/>
      <x:c r="Z173" s="43" t="str">
        <x:v>Practice-14</x:v>
      </x:c>
    </x:row>
    <x:row r="174" ht="58" customHeight="1">
      <x:c r="A174" s="43" t="str">
        <x:v>PRA-14-A</x:v>
      </x:c>
      <x:c r="B174" s="43" t="str">
        <x:v>PRA-14</x:v>
      </x:c>
      <x:c r="C174" s="43" t="n">
        <x:v>14</x:v>
      </x:c>
      <x:c r="D174" s="43" t="str">
        <x:v>14</x:v>
      </x:c>
      <x:c r="E174" s="43" t="str">
        <x:v>Work Item</x:v>
      </x:c>
      <x:c r="F174" s="43" t="str">
        <x:v>Story</x:v>
      </x:c>
      <x:c r="G174" s="43" t="str">
        <x:v>Entry points and immutable context</x:v>
      </x:c>
      <x:c r="H174" s="43" t="str">
        <x:v>Content Review</x:v>
      </x:c>
      <x:c r="I174" s="43" t="str">
        <x:v>Backlog</x:v>
      </x:c>
      <x:c r="J174" s="43" t="str">
        <x:v>NOT_STARTED</x:v>
      </x:c>
      <x:c r="K174" s="43" t="str">
        <x:v>Medium</x:v>
      </x:c>
      <x:c r="L174" s="43" t="str">
        <x:v>Informational</x:v>
      </x:c>
      <x:c r="M174" s="43" t="str">
        <x:v>Current Contract</x:v>
      </x:c>
      <x:c r="N174" s="43" t="str">
        <x:v>Yes</x:v>
      </x:c>
      <x:c r="O174" s="43" t="str"/>
      <x:c r="P174" s="43" t="str"/>
      <x:c r="Q174" s="43" t="str"/>
      <x:c r="R174" s="43" t="str"/>
      <x:c r="S174" s="43" t="str"/>
      <x:c r="T174" s="43" t="str">
        <x:v>PRACTICE_PHASE_10_16_EXECUTION_BLUEPRINT.md §Phase 14</x:v>
      </x:c>
      <x:c r="U174" s="43" t="str">
        <x:v>practice</x:v>
      </x:c>
      <x:c r="V174" s="43" t="str">
        <x:v>Practice Content Review</x:v>
      </x:c>
      <x:c r="W174" s="43" t="str"/>
      <x:c r="X174" s="43" t="str"/>
      <x:c r="Y174" s="43" t="str"/>
      <x:c r="Z174" s="43" t="str">
        <x:v>Practice-14</x:v>
      </x:c>
    </x:row>
    <x:row r="175" ht="58" customHeight="1">
      <x:c r="A175" s="43" t="str">
        <x:v>PRA-14-A-ST1</x:v>
      </x:c>
      <x:c r="B175" s="43" t="str">
        <x:v>PRA-14-A</x:v>
      </x:c>
      <x:c r="C175" s="43" t="n">
        <x:v>14</x:v>
      </x:c>
      <x:c r="D175" s="43" t="str">
        <x:v>14</x:v>
      </x:c>
      <x:c r="E175" s="43" t="str">
        <x:v>Sub-task</x:v>
      </x:c>
      <x:c r="F175" s="43" t="str">
        <x:v>Sub-task</x:v>
      </x:c>
      <x:c r="G175" s="43" t="str">
        <x:v>Server-resolve target/version/attempt/view context</x:v>
      </x:c>
      <x:c r="H175" s="43" t="str">
        <x:v>Content Review</x:v>
      </x:c>
      <x:c r="I175" s="43" t="str">
        <x:v>Backlog</x:v>
      </x:c>
      <x:c r="J175" s="43" t="str">
        <x:v>NOT_STARTED</x:v>
      </x:c>
      <x:c r="K175" s="43" t="str">
        <x:v>Medium</x:v>
      </x:c>
      <x:c r="L175" s="43" t="str">
        <x:v>Informational</x:v>
      </x:c>
      <x:c r="M175" s="43" t="str">
        <x:v>Current Contract</x:v>
      </x:c>
      <x:c r="N175" s="43" t="str">
        <x:v>Yes</x:v>
      </x:c>
      <x:c r="O175" s="43" t="str"/>
      <x:c r="P175" s="43" t="str"/>
      <x:c r="Q175" s="43" t="str"/>
      <x:c r="R175" s="43" t="str"/>
      <x:c r="S175" s="43" t="str"/>
      <x:c r="T175" s="43" t="str">
        <x:v>PRACTICE_PHASE_10_16_EXECUTION_BLUEPRINT.md §Phase 14</x:v>
      </x:c>
      <x:c r="U175" s="43" t="str">
        <x:v>practice</x:v>
      </x:c>
      <x:c r="V175" s="43" t="str">
        <x:v>Practice Content Review</x:v>
      </x:c>
      <x:c r="W175" s="43" t="str"/>
      <x:c r="X175" s="43" t="str"/>
      <x:c r="Y175" s="43" t="str"/>
      <x:c r="Z175" s="43" t="str">
        <x:v>Practice-14</x:v>
      </x:c>
    </x:row>
    <x:row r="176" ht="58" customHeight="1">
      <x:c r="A176" s="43" t="str">
        <x:v>PRA-14-B</x:v>
      </x:c>
      <x:c r="B176" s="43" t="str">
        <x:v>PRA-14</x:v>
      </x:c>
      <x:c r="C176" s="43" t="n">
        <x:v>14</x:v>
      </x:c>
      <x:c r="D176" s="43" t="str">
        <x:v>14</x:v>
      </x:c>
      <x:c r="E176" s="43" t="str">
        <x:v>Work Item</x:v>
      </x:c>
      <x:c r="F176" s="43" t="str">
        <x:v>Story</x:v>
      </x:c>
      <x:c r="G176" s="43" t="str">
        <x:v>Learner form and safe evidence snapshot</x:v>
      </x:c>
      <x:c r="H176" s="43" t="str">
        <x:v>Content Review</x:v>
      </x:c>
      <x:c r="I176" s="43" t="str">
        <x:v>Backlog</x:v>
      </x:c>
      <x:c r="J176" s="43" t="str">
        <x:v>NOT_STARTED</x:v>
      </x:c>
      <x:c r="K176" s="43" t="str">
        <x:v>Medium</x:v>
      </x:c>
      <x:c r="L176" s="43" t="str">
        <x:v>Informational</x:v>
      </x:c>
      <x:c r="M176" s="43" t="str">
        <x:v>Current Contract</x:v>
      </x:c>
      <x:c r="N176" s="43" t="str">
        <x:v>Yes</x:v>
      </x:c>
      <x:c r="O176" s="43" t="str"/>
      <x:c r="P176" s="43" t="str"/>
      <x:c r="Q176" s="43" t="str"/>
      <x:c r="R176" s="43" t="str"/>
      <x:c r="S176" s="43" t="str"/>
      <x:c r="T176" s="43" t="str">
        <x:v>PRACTICE_PHASE_10_16_EXECUTION_BLUEPRINT.md §Phase 14</x:v>
      </x:c>
      <x:c r="U176" s="43" t="str">
        <x:v>practice</x:v>
      </x:c>
      <x:c r="V176" s="43" t="str">
        <x:v>Practice Content Review</x:v>
      </x:c>
      <x:c r="W176" s="43" t="str"/>
      <x:c r="X176" s="43" t="str"/>
      <x:c r="Y176" s="43" t="str"/>
      <x:c r="Z176" s="43" t="str">
        <x:v>Practice-14</x:v>
      </x:c>
    </x:row>
    <x:row r="177" ht="58" customHeight="1">
      <x:c r="A177" s="43" t="str">
        <x:v>PRA-14-B-ST1</x:v>
      </x:c>
      <x:c r="B177" s="43" t="str">
        <x:v>PRA-14-B</x:v>
      </x:c>
      <x:c r="C177" s="43" t="n">
        <x:v>14</x:v>
      </x:c>
      <x:c r="D177" s="43" t="str">
        <x:v>14</x:v>
      </x:c>
      <x:c r="E177" s="43" t="str">
        <x:v>Sub-task</x:v>
      </x:c>
      <x:c r="F177" s="43" t="str">
        <x:v>Sub-task</x:v>
      </x:c>
      <x:c r="G177" s="43" t="str">
        <x:v>Attachment consent, MIME, size, private storage and retention</x:v>
      </x:c>
      <x:c r="H177" s="43" t="str">
        <x:v>Content Review</x:v>
      </x:c>
      <x:c r="I177" s="43" t="str">
        <x:v>Backlog</x:v>
      </x:c>
      <x:c r="J177" s="43" t="str">
        <x:v>NOT_STARTED</x:v>
      </x:c>
      <x:c r="K177" s="43" t="str">
        <x:v>Medium</x:v>
      </x:c>
      <x:c r="L177" s="43" t="str">
        <x:v>Informational</x:v>
      </x:c>
      <x:c r="M177" s="43" t="str">
        <x:v>Current Contract</x:v>
      </x:c>
      <x:c r="N177" s="43" t="str">
        <x:v>Yes</x:v>
      </x:c>
      <x:c r="O177" s="43" t="str"/>
      <x:c r="P177" s="43" t="str"/>
      <x:c r="Q177" s="43" t="str"/>
      <x:c r="R177" s="43" t="str"/>
      <x:c r="S177" s="43" t="str"/>
      <x:c r="T177" s="43" t="str">
        <x:v>PRACTICE_PHASE_10_16_EXECUTION_BLUEPRINT.md §Phase 14</x:v>
      </x:c>
      <x:c r="U177" s="43" t="str">
        <x:v>practice</x:v>
      </x:c>
      <x:c r="V177" s="43" t="str">
        <x:v>Practice Content Review</x:v>
      </x:c>
      <x:c r="W177" s="43" t="str"/>
      <x:c r="X177" s="43" t="str"/>
      <x:c r="Y177" s="43" t="str"/>
      <x:c r="Z177" s="43" t="str">
        <x:v>Practice-14</x:v>
      </x:c>
    </x:row>
    <x:row r="178" ht="58" customHeight="1">
      <x:c r="A178" s="43" t="str">
        <x:v>PRA-14-C</x:v>
      </x:c>
      <x:c r="B178" s="43" t="str">
        <x:v>PRA-14</x:v>
      </x:c>
      <x:c r="C178" s="43" t="n">
        <x:v>14</x:v>
      </x:c>
      <x:c r="D178" s="43" t="str">
        <x:v>14</x:v>
      </x:c>
      <x:c r="E178" s="43" t="str">
        <x:v>Work Item</x:v>
      </x:c>
      <x:c r="F178" s="43" t="str">
        <x:v>Task</x:v>
      </x:c>
      <x:c r="G178" s="43" t="str">
        <x:v>Status history, deduplication, rate limit and idempotency</x:v>
      </x:c>
      <x:c r="H178" s="43" t="str">
        <x:v>Content Review</x:v>
      </x:c>
      <x:c r="I178" s="43" t="str">
        <x:v>Backlog</x:v>
      </x:c>
      <x:c r="J178" s="43" t="str">
        <x:v>NOT_STARTED</x:v>
      </x:c>
      <x:c r="K178" s="43" t="str">
        <x:v>Medium</x:v>
      </x:c>
      <x:c r="L178" s="43" t="str">
        <x:v>Informational</x:v>
      </x:c>
      <x:c r="M178" s="43" t="str">
        <x:v>Current Contract</x:v>
      </x:c>
      <x:c r="N178" s="43" t="str">
        <x:v>Yes</x:v>
      </x:c>
      <x:c r="O178" s="43" t="str"/>
      <x:c r="P178" s="43" t="str"/>
      <x:c r="Q178" s="43" t="str"/>
      <x:c r="R178" s="43" t="str"/>
      <x:c r="S178" s="43" t="str"/>
      <x:c r="T178" s="43" t="str">
        <x:v>PRACTICE_PHASE_10_16_EXECUTION_BLUEPRINT.md §Phase 14</x:v>
      </x:c>
      <x:c r="U178" s="43" t="str">
        <x:v>practice</x:v>
      </x:c>
      <x:c r="V178" s="43" t="str">
        <x:v>Practice Content Review</x:v>
      </x:c>
      <x:c r="W178" s="43" t="str"/>
      <x:c r="X178" s="43" t="str"/>
      <x:c r="Y178" s="43" t="str"/>
      <x:c r="Z178" s="43" t="str">
        <x:v>Practice-14</x:v>
      </x:c>
    </x:row>
    <x:row r="179" ht="58" customHeight="1">
      <x:c r="A179" s="43" t="str">
        <x:v>PRA-14-C-ST1</x:v>
      </x:c>
      <x:c r="B179" s="43" t="str">
        <x:v>PRA-14-C</x:v>
      </x:c>
      <x:c r="C179" s="43" t="n">
        <x:v>14</x:v>
      </x:c>
      <x:c r="D179" s="43" t="str">
        <x:v>14</x:v>
      </x:c>
      <x:c r="E179" s="43" t="str">
        <x:v>Sub-task</x:v>
      </x:c>
      <x:c r="F179" s="43" t="str">
        <x:v>Sub-task</x:v>
      </x:c>
      <x:c r="G179" s="43" t="str">
        <x:v>Map legacy/new status vocabulary and migration</x:v>
      </x:c>
      <x:c r="H179" s="43" t="str">
        <x:v>Content Review</x:v>
      </x:c>
      <x:c r="I179" s="43" t="str">
        <x:v>Backlog</x:v>
      </x:c>
      <x:c r="J179" s="43" t="str">
        <x:v>NOT_STARTED</x:v>
      </x:c>
      <x:c r="K179" s="43" t="str">
        <x:v>Medium</x:v>
      </x:c>
      <x:c r="L179" s="43" t="str">
        <x:v>Informational</x:v>
      </x:c>
      <x:c r="M179" s="43" t="str">
        <x:v>Current Contract</x:v>
      </x:c>
      <x:c r="N179" s="43" t="str">
        <x:v>Yes</x:v>
      </x:c>
      <x:c r="O179" s="43" t="str"/>
      <x:c r="P179" s="43" t="str"/>
      <x:c r="Q179" s="43" t="str"/>
      <x:c r="R179" s="43" t="str"/>
      <x:c r="S179" s="43" t="str"/>
      <x:c r="T179" s="43" t="str">
        <x:v>PRACTICE_PHASE_10_16_EXECUTION_BLUEPRINT.md §Phase 14</x:v>
      </x:c>
      <x:c r="U179" s="43" t="str">
        <x:v>practice</x:v>
      </x:c>
      <x:c r="V179" s="43" t="str">
        <x:v>Practice Content Review</x:v>
      </x:c>
      <x:c r="W179" s="43" t="str"/>
      <x:c r="X179" s="43" t="str"/>
      <x:c r="Y179" s="43" t="str"/>
      <x:c r="Z179" s="43" t="str">
        <x:v>Practice-14</x:v>
      </x:c>
    </x:row>
    <x:row r="180" ht="58" customHeight="1">
      <x:c r="A180" s="43" t="str">
        <x:v>PRA-14-D</x:v>
      </x:c>
      <x:c r="B180" s="43" t="str">
        <x:v>PRA-14</x:v>
      </x:c>
      <x:c r="C180" s="43" t="n">
        <x:v>14</x:v>
      </x:c>
      <x:c r="D180" s="43" t="str">
        <x:v>14</x:v>
      </x:c>
      <x:c r="E180" s="43" t="str">
        <x:v>Work Item</x:v>
      </x:c>
      <x:c r="F180" s="43" t="str">
        <x:v>Story</x:v>
      </x:c>
      <x:c r="G180" s="43" t="str">
        <x:v>Reviewer queue, authorization and correction semantics</x:v>
      </x:c>
      <x:c r="H180" s="43" t="str">
        <x:v>Content Review</x:v>
      </x:c>
      <x:c r="I180" s="43" t="str">
        <x:v>Backlog</x:v>
      </x:c>
      <x:c r="J180" s="43" t="str">
        <x:v>NOT_STARTED</x:v>
      </x:c>
      <x:c r="K180" s="43" t="str">
        <x:v>Medium</x:v>
      </x:c>
      <x:c r="L180" s="43" t="str">
        <x:v>Informational</x:v>
      </x:c>
      <x:c r="M180" s="43" t="str">
        <x:v>Current Contract</x:v>
      </x:c>
      <x:c r="N180" s="43" t="str">
        <x:v>Yes</x:v>
      </x:c>
      <x:c r="O180" s="43" t="str"/>
      <x:c r="P180" s="43" t="str"/>
      <x:c r="Q180" s="43" t="str"/>
      <x:c r="R180" s="43" t="str"/>
      <x:c r="S180" s="43" t="str"/>
      <x:c r="T180" s="43" t="str">
        <x:v>PRACTICE_PHASE_10_16_EXECUTION_BLUEPRINT.md §Phase 14</x:v>
      </x:c>
      <x:c r="U180" s="43" t="str">
        <x:v>practice</x:v>
      </x:c>
      <x:c r="V180" s="43" t="str">
        <x:v>Practice Content Review</x:v>
      </x:c>
      <x:c r="W180" s="43" t="str"/>
      <x:c r="X180" s="43" t="str"/>
      <x:c r="Y180" s="43" t="str"/>
      <x:c r="Z180" s="43" t="str">
        <x:v>Practice-14</x:v>
      </x:c>
    </x:row>
    <x:row r="181" ht="58" customHeight="1">
      <x:c r="A181" s="43" t="str">
        <x:v>PRA-14-D-ST1</x:v>
      </x:c>
      <x:c r="B181" s="43" t="str">
        <x:v>PRA-14-D</x:v>
      </x:c>
      <x:c r="C181" s="43" t="n">
        <x:v>14</x:v>
      </x:c>
      <x:c r="D181" s="43" t="str">
        <x:v>14</x:v>
      </x:c>
      <x:c r="E181" s="43" t="str">
        <x:v>Sub-task</x:v>
      </x:c>
      <x:c r="F181" s="43" t="str">
        <x:v>Sub-task</x:v>
      </x:c>
      <x:c r="G181" s="43" t="str">
        <x:v>Create draft/new version or superseding artifact; never mutate published evidence</x:v>
      </x:c>
      <x:c r="H181" s="43" t="str">
        <x:v>Content Review</x:v>
      </x:c>
      <x:c r="I181" s="43" t="str">
        <x:v>Backlog</x:v>
      </x:c>
      <x:c r="J181" s="43" t="str">
        <x:v>NOT_STARTED</x:v>
      </x:c>
      <x:c r="K181" s="43" t="str">
        <x:v>Medium</x:v>
      </x:c>
      <x:c r="L181" s="43" t="str">
        <x:v>Informational</x:v>
      </x:c>
      <x:c r="M181" s="43" t="str">
        <x:v>Current Contract</x:v>
      </x:c>
      <x:c r="N181" s="43" t="str">
        <x:v>Yes</x:v>
      </x:c>
      <x:c r="O181" s="43" t="str"/>
      <x:c r="P181" s="43" t="str"/>
      <x:c r="Q181" s="43" t="str"/>
      <x:c r="R181" s="43" t="str"/>
      <x:c r="S181" s="43" t="str"/>
      <x:c r="T181" s="43" t="str">
        <x:v>PRACTICE_PHASE_10_16_EXECUTION_BLUEPRINT.md §Phase 14</x:v>
      </x:c>
      <x:c r="U181" s="43" t="str">
        <x:v>practice</x:v>
      </x:c>
      <x:c r="V181" s="43" t="str">
        <x:v>Practice Content Review</x:v>
      </x:c>
      <x:c r="W181" s="43" t="str"/>
      <x:c r="X181" s="43" t="str"/>
      <x:c r="Y181" s="43" t="str"/>
      <x:c r="Z181" s="43" t="str">
        <x:v>Practice-14</x:v>
      </x:c>
    </x:row>
    <x:row r="182" ht="58" customHeight="1">
      <x:c r="A182" s="43" t="str">
        <x:v>PRA-14-E</x:v>
      </x:c>
      <x:c r="B182" s="43" t="str">
        <x:v>PRA-14</x:v>
      </x:c>
      <x:c r="C182" s="43" t="n">
        <x:v>14</x:v>
      </x:c>
      <x:c r="D182" s="43" t="str">
        <x:v>14</x:v>
      </x:c>
      <x:c r="E182" s="43" t="str">
        <x:v>Work Item</x:v>
      </x:c>
      <x:c r="F182" s="43" t="str">
        <x:v>Story</x:v>
      </x:c>
      <x:c r="G182" s="43" t="str">
        <x:v>Resolution feedback, SLA, notification and metrics</x:v>
      </x:c>
      <x:c r="H182" s="43" t="str">
        <x:v>Content Review</x:v>
      </x:c>
      <x:c r="I182" s="43" t="str">
        <x:v>Backlog</x:v>
      </x:c>
      <x:c r="J182" s="43" t="str">
        <x:v>NOT_STARTED</x:v>
      </x:c>
      <x:c r="K182" s="43" t="str">
        <x:v>Medium</x:v>
      </x:c>
      <x:c r="L182" s="43" t="str">
        <x:v>Informational</x:v>
      </x:c>
      <x:c r="M182" s="43" t="str">
        <x:v>Current Contract</x:v>
      </x:c>
      <x:c r="N182" s="43" t="str">
        <x:v>Yes</x:v>
      </x:c>
      <x:c r="O182" s="43" t="str"/>
      <x:c r="P182" s="43" t="str"/>
      <x:c r="Q182" s="43" t="str"/>
      <x:c r="R182" s="43" t="str"/>
      <x:c r="S182" s="43" t="str"/>
      <x:c r="T182" s="43" t="str">
        <x:v>PRACTICE_PHASE_10_16_EXECUTION_BLUEPRINT.md §Phase 14</x:v>
      </x:c>
      <x:c r="U182" s="43" t="str">
        <x:v>practice</x:v>
      </x:c>
      <x:c r="V182" s="43" t="str">
        <x:v>Practice Content Review</x:v>
      </x:c>
      <x:c r="W182" s="43" t="str"/>
      <x:c r="X182" s="43" t="str"/>
      <x:c r="Y182" s="43" t="str"/>
      <x:c r="Z182" s="43" t="str">
        <x:v>Practice-14</x:v>
      </x:c>
    </x:row>
    <x:row r="183" ht="58" customHeight="1">
      <x:c r="A183" s="43" t="str">
        <x:v>PRA-14-F</x:v>
      </x:c>
      <x:c r="B183" s="43" t="str">
        <x:v>PRA-14</x:v>
      </x:c>
      <x:c r="C183" s="43" t="n">
        <x:v>14</x:v>
      </x:c>
      <x:c r="D183" s="43" t="str">
        <x:v>14</x:v>
      </x:c>
      <x:c r="E183" s="43" t="str">
        <x:v>Work Item</x:v>
      </x:c>
      <x:c r="F183" s="43" t="str">
        <x:v>Task</x:v>
      </x:c>
      <x:c r="G183" s="43" t="str">
        <x:v>Report-to-correction end-to-end gate</x:v>
      </x:c>
      <x:c r="H183" s="43" t="str">
        <x:v>Content Review</x:v>
      </x:c>
      <x:c r="I183" s="43" t="str">
        <x:v>Backlog</x:v>
      </x:c>
      <x:c r="J183" s="43" t="str">
        <x:v>NOT_STARTED</x:v>
      </x:c>
      <x:c r="K183" s="43" t="str">
        <x:v>Medium</x:v>
      </x:c>
      <x:c r="L183" s="43" t="str">
        <x:v>Informational</x:v>
      </x:c>
      <x:c r="M183" s="43" t="str">
        <x:v>Current Contract</x:v>
      </x:c>
      <x:c r="N183" s="43" t="str">
        <x:v>Yes</x:v>
      </x:c>
      <x:c r="O183" s="43" t="str"/>
      <x:c r="P183" s="43" t="str"/>
      <x:c r="Q183" s="43" t="str"/>
      <x:c r="R183" s="43" t="str"/>
      <x:c r="S183" s="43" t="str"/>
      <x:c r="T183" s="43" t="str">
        <x:v>PRACTICE_PHASE_10_16_EXECUTION_BLUEPRINT.md §Phase 14</x:v>
      </x:c>
      <x:c r="U183" s="43" t="str">
        <x:v>practice</x:v>
      </x:c>
      <x:c r="V183" s="43" t="str">
        <x:v>Practice Content Review</x:v>
      </x:c>
      <x:c r="W183" s="43" t="str"/>
      <x:c r="X183" s="43" t="str"/>
      <x:c r="Y183" s="43" t="str"/>
      <x:c r="Z183" s="43" t="str">
        <x:v>Practice-14</x:v>
      </x:c>
    </x:row>
    <x:row r="184" ht="58" customHeight="1">
      <x:c r="A184" s="43" t="str">
        <x:v>PRA-15A</x:v>
      </x:c>
      <x:c r="B184" s="43" t="str">
        <x:v>PRA-PROGRAM</x:v>
      </x:c>
      <x:c r="C184" s="43" t="n">
        <x:v>15</x:v>
      </x:c>
      <x:c r="D184" s="43" t="str">
        <x:v>15A</x:v>
      </x:c>
      <x:c r="E184" s="43" t="str">
        <x:v>Epic</x:v>
      </x:c>
      <x:c r="F184" s="43" t="str">
        <x:v>Epic</x:v>
      </x:c>
      <x:c r="G184" s="43" t="str">
        <x:v>Compatibility Cleanup &amp; Automated Release Gate</x:v>
      </x:c>
      <x:c r="H184" s="43" t="str">
        <x:v>Compatibility &amp; Migration</x:v>
      </x:c>
      <x:c r="I184" s="43" t="str">
        <x:v>Backlog</x:v>
      </x:c>
      <x:c r="J184" s="43" t="str">
        <x:v>NOT_STARTED</x:v>
      </x:c>
      <x:c r="K184" s="43" t="str">
        <x:v>Highest</x:v>
      </x:c>
      <x:c r="L184" s="43" t="str">
        <x:v>Informational</x:v>
      </x:c>
      <x:c r="M184" s="43" t="str">
        <x:v>Current Inventory</x:v>
      </x:c>
      <x:c r="N184" s="43" t="str">
        <x:v>Yes</x:v>
      </x:c>
      <x:c r="O184" s="43" t="str">
        <x:v>PRA-13E,PRA-14</x:v>
      </x:c>
      <x:c r="P184" s="43" t="str">
        <x:v>Resolve P15-COMP inventory, cleanup one controlled batch and prove database/runtime.</x:v>
      </x:c>
      <x:c r="Q184" s="43" t="str">
        <x:v>Every item REMOVE/MIGRATE/RETAIN_WITH_EXPIRY/KEEP; no unexplained legacy path; fresh/upgrade/full-suite evidence.</x:v>
      </x:c>
      <x:c r="R184" s="43" t="str"/>
      <x:c r="S184" s="43" t="str"/>
      <x:c r="T184" s="43" t="str">
        <x:v>docs/PRACTICE_PHASE_15_COMPATIBILITY_CLEANUP_AND_SEED_UAT_INVENTORY.md</x:v>
      </x:c>
      <x:c r="U184" s="43" t="str">
        <x:v>practice</x:v>
      </x:c>
      <x:c r="V184" s="43" t="str">
        <x:v>Practice Persistence/Migration</x:v>
      </x:c>
      <x:c r="W184" s="43" t="str"/>
      <x:c r="X184" s="43" t="str"/>
      <x:c r="Y184" s="43" t="str"/>
      <x:c r="Z184" s="43" t="str">
        <x:v>Practice-15A</x:v>
      </x:c>
    </x:row>
    <x:row r="185" ht="58" customHeight="1">
      <x:c r="A185" s="43" t="str">
        <x:v>PRA-15A-01</x:v>
      </x:c>
      <x:c r="B185" s="43" t="str">
        <x:v>PRA-15A</x:v>
      </x:c>
      <x:c r="C185" s="43" t="n">
        <x:v>15</x:v>
      </x:c>
      <x:c r="D185" s="43" t="str">
        <x:v>15A</x:v>
      </x:c>
      <x:c r="E185" s="43" t="str">
        <x:v>Work Item</x:v>
      </x:c>
      <x:c r="F185" s="43" t="str">
        <x:v>Task</x:v>
      </x:c>
      <x:c r="G185" s="43" t="str">
        <x:v>Environment freeze, database proof and backup</x:v>
      </x:c>
      <x:c r="H185" s="43" t="str">
        <x:v>Compatibility &amp; Migration</x:v>
      </x:c>
      <x:c r="I185" s="43" t="str">
        <x:v>Backlog</x:v>
      </x:c>
      <x:c r="J185" s="43" t="str">
        <x:v>NOT_STARTED</x:v>
      </x:c>
      <x:c r="K185" s="43" t="str">
        <x:v>Medium</x:v>
      </x:c>
      <x:c r="L185" s="43" t="str">
        <x:v>Informational</x:v>
      </x:c>
      <x:c r="M185" s="43" t="str">
        <x:v>Current Inventory</x:v>
      </x:c>
      <x:c r="N185" s="43" t="str">
        <x:v>Yes</x:v>
      </x:c>
      <x:c r="O185" s="43" t="str"/>
      <x:c r="P185" s="43" t="str"/>
      <x:c r="Q185" s="43" t="str"/>
      <x:c r="R185" s="43" t="str"/>
      <x:c r="S185" s="43" t="str"/>
      <x:c r="T185" s="43" t="str">
        <x:v>docs/PRACTICE_PHASE_15_COMPATIBILITY_CLEANUP_AND_SEED_UAT_INVENTORY.md</x:v>
      </x:c>
      <x:c r="U185" s="43" t="str">
        <x:v>practice</x:v>
      </x:c>
      <x:c r="V185" s="43" t="str">
        <x:v>Practice Persistence/Migration</x:v>
      </x:c>
      <x:c r="W185" s="43" t="str"/>
      <x:c r="X185" s="43" t="str"/>
      <x:c r="Y185" s="43" t="str"/>
      <x:c r="Z185" s="43" t="str">
        <x:v>Practice-15A</x:v>
      </x:c>
    </x:row>
    <x:row r="186" ht="58" customHeight="1">
      <x:c r="A186" s="43" t="str">
        <x:v>PRA-15A-02</x:v>
      </x:c>
      <x:c r="B186" s="43" t="str">
        <x:v>PRA-15A</x:v>
      </x:c>
      <x:c r="C186" s="43" t="n">
        <x:v>15</x:v>
      </x:c>
      <x:c r="D186" s="43" t="str">
        <x:v>15A</x:v>
      </x:c>
      <x:c r="E186" s="43" t="str">
        <x:v>Work Item</x:v>
      </x:c>
      <x:c r="F186" s="43" t="str">
        <x:v>Task</x:v>
      </x:c>
      <x:c r="G186" s="43" t="str">
        <x:v>Resolve Writing/Speaking compatibility P15-COMP-01..04</x:v>
      </x:c>
      <x:c r="H186" s="43" t="str">
        <x:v>Compatibility &amp; Migration</x:v>
      </x:c>
      <x:c r="I186" s="43" t="str">
        <x:v>Backlog</x:v>
      </x:c>
      <x:c r="J186" s="43" t="str">
        <x:v>NOT_STARTED</x:v>
      </x:c>
      <x:c r="K186" s="43" t="str">
        <x:v>Medium</x:v>
      </x:c>
      <x:c r="L186" s="43" t="str">
        <x:v>Informational</x:v>
      </x:c>
      <x:c r="M186" s="43" t="str">
        <x:v>Current Inventory</x:v>
      </x:c>
      <x:c r="N186" s="43" t="str">
        <x:v>Yes</x:v>
      </x:c>
      <x:c r="O186" s="43" t="str"/>
      <x:c r="P186" s="43" t="str"/>
      <x:c r="Q186" s="43" t="str"/>
      <x:c r="R186" s="43" t="str"/>
      <x:c r="S186" s="43" t="str"/>
      <x:c r="T186" s="43" t="str">
        <x:v>docs/PRACTICE_PHASE_15_COMPATIBILITY_CLEANUP_AND_SEED_UAT_INVENTORY.md</x:v>
      </x:c>
      <x:c r="U186" s="43" t="str">
        <x:v>practice</x:v>
      </x:c>
      <x:c r="V186" s="43" t="str">
        <x:v>Practice Persistence/Migration</x:v>
      </x:c>
      <x:c r="W186" s="43" t="str"/>
      <x:c r="X186" s="43" t="str"/>
      <x:c r="Y186" s="43" t="str"/>
      <x:c r="Z186" s="43" t="str">
        <x:v>Practice-15A</x:v>
      </x:c>
    </x:row>
    <x:row r="187" ht="58" customHeight="1">
      <x:c r="A187" s="43" t="str">
        <x:v>PRA-15A-02-ST1</x:v>
      </x:c>
      <x:c r="B187" s="43" t="str">
        <x:v>PRA-15A-02</x:v>
      </x:c>
      <x:c r="C187" s="43" t="n">
        <x:v>15</x:v>
      </x:c>
      <x:c r="D187" s="43" t="str">
        <x:v>15A</x:v>
      </x:c>
      <x:c r="E187" s="43" t="str">
        <x:v>Sub-task</x:v>
      </x:c>
      <x:c r="F187" s="43" t="str">
        <x:v>Sub-task</x:v>
      </x:c>
      <x:c r="G187" s="43" t="str">
        <x:v>Inventory retained attempts and current payloads</x:v>
      </x:c>
      <x:c r="H187" s="43" t="str">
        <x:v>Compatibility &amp; Migration</x:v>
      </x:c>
      <x:c r="I187" s="43" t="str">
        <x:v>Backlog</x:v>
      </x:c>
      <x:c r="J187" s="43" t="str">
        <x:v>NOT_STARTED</x:v>
      </x:c>
      <x:c r="K187" s="43" t="str">
        <x:v>Medium</x:v>
      </x:c>
      <x:c r="L187" s="43" t="str">
        <x:v>Informational</x:v>
      </x:c>
      <x:c r="M187" s="43" t="str">
        <x:v>Current Inventory</x:v>
      </x:c>
      <x:c r="N187" s="43" t="str">
        <x:v>Yes</x:v>
      </x:c>
      <x:c r="O187" s="43" t="str"/>
      <x:c r="P187" s="43" t="str"/>
      <x:c r="Q187" s="43" t="str"/>
      <x:c r="R187" s="43" t="str"/>
      <x:c r="S187" s="43" t="str"/>
      <x:c r="T187" s="43" t="str">
        <x:v>docs/PRACTICE_PHASE_15_COMPATIBILITY_CLEANUP_AND_SEED_UAT_INVENTORY.md</x:v>
      </x:c>
      <x:c r="U187" s="43" t="str">
        <x:v>practice</x:v>
      </x:c>
      <x:c r="V187" s="43" t="str">
        <x:v>Practice Persistence/Migration</x:v>
      </x:c>
      <x:c r="W187" s="43" t="str"/>
      <x:c r="X187" s="43" t="str"/>
      <x:c r="Y187" s="43" t="str"/>
      <x:c r="Z187" s="43" t="str">
        <x:v>Practice-15A</x:v>
      </x:c>
    </x:row>
    <x:row r="188" ht="58" customHeight="1">
      <x:c r="A188" s="43" t="str">
        <x:v>PRA-15A-02-ST2</x:v>
      </x:c>
      <x:c r="B188" s="43" t="str">
        <x:v>PRA-15A-02</x:v>
      </x:c>
      <x:c r="C188" s="43" t="n">
        <x:v>15</x:v>
      </x:c>
      <x:c r="D188" s="43" t="str">
        <x:v>15A</x:v>
      </x:c>
      <x:c r="E188" s="43" t="str">
        <x:v>Sub-task</x:v>
      </x:c>
      <x:c r="F188" s="43" t="str">
        <x:v>Sub-task</x:v>
      </x:c>
      <x:c r="G188" s="43" t="str">
        <x:v>Remove/migrate branches and regression fixtures</x:v>
      </x:c>
      <x:c r="H188" s="43" t="str">
        <x:v>Compatibility &amp; Migration</x:v>
      </x:c>
      <x:c r="I188" s="43" t="str">
        <x:v>Backlog</x:v>
      </x:c>
      <x:c r="J188" s="43" t="str">
        <x:v>NOT_STARTED</x:v>
      </x:c>
      <x:c r="K188" s="43" t="str">
        <x:v>Medium</x:v>
      </x:c>
      <x:c r="L188" s="43" t="str">
        <x:v>Informational</x:v>
      </x:c>
      <x:c r="M188" s="43" t="str">
        <x:v>Current Inventory</x:v>
      </x:c>
      <x:c r="N188" s="43" t="str">
        <x:v>Yes</x:v>
      </x:c>
      <x:c r="O188" s="43" t="str"/>
      <x:c r="P188" s="43" t="str"/>
      <x:c r="Q188" s="43" t="str"/>
      <x:c r="R188" s="43" t="str"/>
      <x:c r="S188" s="43" t="str"/>
      <x:c r="T188" s="43" t="str">
        <x:v>docs/PRACTICE_PHASE_15_COMPATIBILITY_CLEANUP_AND_SEED_UAT_INVENTORY.md</x:v>
      </x:c>
      <x:c r="U188" s="43" t="str">
        <x:v>practice</x:v>
      </x:c>
      <x:c r="V188" s="43" t="str">
        <x:v>Practice Persistence/Migration</x:v>
      </x:c>
      <x:c r="W188" s="43" t="str"/>
      <x:c r="X188" s="43" t="str"/>
      <x:c r="Y188" s="43" t="str"/>
      <x:c r="Z188" s="43" t="str">
        <x:v>Practice-15A</x:v>
      </x:c>
    </x:row>
    <x:row r="189" ht="58" customHeight="1">
      <x:c r="A189" s="43" t="str">
        <x:v>PRA-15A-03</x:v>
      </x:c>
      <x:c r="B189" s="43" t="str">
        <x:v>PRA-15A</x:v>
      </x:c>
      <x:c r="C189" s="43" t="n">
        <x:v>15</x:v>
      </x:c>
      <x:c r="D189" s="43" t="str">
        <x:v>15A</x:v>
      </x:c>
      <x:c r="E189" s="43" t="str">
        <x:v>Work Item</x:v>
      </x:c>
      <x:c r="F189" s="43" t="str">
        <x:v>Task</x:v>
      </x:c>
      <x:c r="G189" s="43" t="str">
        <x:v>Resolve no-version and ungrouped fallbacks P15-COMP-05..06</x:v>
      </x:c>
      <x:c r="H189" s="43" t="str">
        <x:v>Compatibility &amp; Migration</x:v>
      </x:c>
      <x:c r="I189" s="43" t="str">
        <x:v>Backlog</x:v>
      </x:c>
      <x:c r="J189" s="43" t="str">
        <x:v>NOT_STARTED</x:v>
      </x:c>
      <x:c r="K189" s="43" t="str">
        <x:v>Medium</x:v>
      </x:c>
      <x:c r="L189" s="43" t="str">
        <x:v>Informational</x:v>
      </x:c>
      <x:c r="M189" s="43" t="str">
        <x:v>Current Inventory</x:v>
      </x:c>
      <x:c r="N189" s="43" t="str">
        <x:v>Yes</x:v>
      </x:c>
      <x:c r="O189" s="43" t="str"/>
      <x:c r="P189" s="43" t="str"/>
      <x:c r="Q189" s="43" t="str"/>
      <x:c r="R189" s="43" t="str"/>
      <x:c r="S189" s="43" t="str"/>
      <x:c r="T189" s="43" t="str">
        <x:v>docs/PRACTICE_PHASE_15_COMPATIBILITY_CLEANUP_AND_SEED_UAT_INVENTORY.md</x:v>
      </x:c>
      <x:c r="U189" s="43" t="str">
        <x:v>practice</x:v>
      </x:c>
      <x:c r="V189" s="43" t="str">
        <x:v>Practice Persistence/Migration</x:v>
      </x:c>
      <x:c r="W189" s="43" t="str"/>
      <x:c r="X189" s="43" t="str"/>
      <x:c r="Y189" s="43" t="str"/>
      <x:c r="Z189" s="43" t="str">
        <x:v>Practice-15A</x:v>
      </x:c>
    </x:row>
    <x:row r="190" ht="58" customHeight="1">
      <x:c r="A190" s="43" t="str">
        <x:v>PRA-15A-04</x:v>
      </x:c>
      <x:c r="B190" s="43" t="str">
        <x:v>PRA-15A</x:v>
      </x:c>
      <x:c r="C190" s="43" t="n">
        <x:v>15</x:v>
      </x:c>
      <x:c r="D190" s="43" t="str">
        <x:v>15A</x:v>
      </x:c>
      <x:c r="E190" s="43" t="str">
        <x:v>Work Item</x:v>
      </x:c>
      <x:c r="F190" s="43" t="str">
        <x:v>Task</x:v>
      </x:c>
      <x:c r="G190" s="43" t="str">
        <x:v>Resolve route/type/import aliases P15-COMP-07..09</x:v>
      </x:c>
      <x:c r="H190" s="43" t="str">
        <x:v>Compatibility &amp; Migration</x:v>
      </x:c>
      <x:c r="I190" s="43" t="str">
        <x:v>Backlog</x:v>
      </x:c>
      <x:c r="J190" s="43" t="str">
        <x:v>NOT_STARTED</x:v>
      </x:c>
      <x:c r="K190" s="43" t="str">
        <x:v>Medium</x:v>
      </x:c>
      <x:c r="L190" s="43" t="str">
        <x:v>Informational</x:v>
      </x:c>
      <x:c r="M190" s="43" t="str">
        <x:v>Current Inventory</x:v>
      </x:c>
      <x:c r="N190" s="43" t="str">
        <x:v>Yes</x:v>
      </x:c>
      <x:c r="O190" s="43" t="str"/>
      <x:c r="P190" s="43" t="str"/>
      <x:c r="Q190" s="43" t="str"/>
      <x:c r="R190" s="43" t="str"/>
      <x:c r="S190" s="43" t="str"/>
      <x:c r="T190" s="43" t="str">
        <x:v>docs/PRACTICE_PHASE_15_COMPATIBILITY_CLEANUP_AND_SEED_UAT_INVENTORY.md</x:v>
      </x:c>
      <x:c r="U190" s="43" t="str">
        <x:v>practice</x:v>
      </x:c>
      <x:c r="V190" s="43" t="str">
        <x:v>Practice Persistence/Migration</x:v>
      </x:c>
      <x:c r="W190" s="43" t="str"/>
      <x:c r="X190" s="43" t="str"/>
      <x:c r="Y190" s="43" t="str"/>
      <x:c r="Z190" s="43" t="str">
        <x:v>Practice-15A</x:v>
      </x:c>
    </x:row>
    <x:row r="191" ht="58" customHeight="1">
      <x:c r="A191" s="43" t="str">
        <x:v>PRA-15A-05</x:v>
      </x:c>
      <x:c r="B191" s="43" t="str">
        <x:v>PRA-15A</x:v>
      </x:c>
      <x:c r="C191" s="43" t="n">
        <x:v>15</x:v>
      </x:c>
      <x:c r="D191" s="43" t="str">
        <x:v>15A</x:v>
      </x:c>
      <x:c r="E191" s="43" t="str">
        <x:v>Work Item</x:v>
      </x:c>
      <x:c r="F191" s="43" t="str">
        <x:v>Task</x:v>
      </x:c>
      <x:c r="G191" s="43" t="str">
        <x:v>Replace old detail and dead asset P15-COMP-10..11</x:v>
      </x:c>
      <x:c r="H191" s="43" t="str">
        <x:v>Compatibility &amp; Migration</x:v>
      </x:c>
      <x:c r="I191" s="43" t="str">
        <x:v>Backlog</x:v>
      </x:c>
      <x:c r="J191" s="43" t="str">
        <x:v>NOT_STARTED</x:v>
      </x:c>
      <x:c r="K191" s="43" t="str">
        <x:v>Medium</x:v>
      </x:c>
      <x:c r="L191" s="43" t="str">
        <x:v>Informational</x:v>
      </x:c>
      <x:c r="M191" s="43" t="str">
        <x:v>Current Inventory</x:v>
      </x:c>
      <x:c r="N191" s="43" t="str">
        <x:v>Yes</x:v>
      </x:c>
      <x:c r="O191" s="43" t="str"/>
      <x:c r="P191" s="43" t="str"/>
      <x:c r="Q191" s="43" t="str"/>
      <x:c r="R191" s="43" t="str"/>
      <x:c r="S191" s="43" t="str"/>
      <x:c r="T191" s="43" t="str">
        <x:v>docs/PRACTICE_PHASE_15_COMPATIBILITY_CLEANUP_AND_SEED_UAT_INVENTORY.md</x:v>
      </x:c>
      <x:c r="U191" s="43" t="str">
        <x:v>practice</x:v>
      </x:c>
      <x:c r="V191" s="43" t="str">
        <x:v>Practice Persistence/Migration</x:v>
      </x:c>
      <x:c r="W191" s="43" t="str"/>
      <x:c r="X191" s="43" t="str"/>
      <x:c r="Y191" s="43" t="str"/>
      <x:c r="Z191" s="43" t="str">
        <x:v>Practice-15A</x:v>
      </x:c>
    </x:row>
    <x:row r="192" ht="58" customHeight="1">
      <x:c r="A192" s="43" t="str">
        <x:v>PRA-15A-06</x:v>
      </x:c>
      <x:c r="B192" s="43" t="str">
        <x:v>PRA-15A</x:v>
      </x:c>
      <x:c r="C192" s="43" t="n">
        <x:v>15</x:v>
      </x:c>
      <x:c r="D192" s="43" t="str">
        <x:v>15A</x:v>
      </x:c>
      <x:c r="E192" s="43" t="str">
        <x:v>Work Item</x:v>
      </x:c>
      <x:c r="F192" s="43" t="str">
        <x:v>Task</x:v>
      </x:c>
      <x:c r="G192" s="43" t="str">
        <x:v>Resolve tests, migration history, docs and fixtures P15-COMP-12..15</x:v>
      </x:c>
      <x:c r="H192" s="43" t="str">
        <x:v>Compatibility &amp; Migration</x:v>
      </x:c>
      <x:c r="I192" s="43" t="str">
        <x:v>Backlog</x:v>
      </x:c>
      <x:c r="J192" s="43" t="str">
        <x:v>NOT_STARTED</x:v>
      </x:c>
      <x:c r="K192" s="43" t="str">
        <x:v>Medium</x:v>
      </x:c>
      <x:c r="L192" s="43" t="str">
        <x:v>Informational</x:v>
      </x:c>
      <x:c r="M192" s="43" t="str">
        <x:v>Current Inventory</x:v>
      </x:c>
      <x:c r="N192" s="43" t="str">
        <x:v>Yes</x:v>
      </x:c>
      <x:c r="O192" s="43" t="str"/>
      <x:c r="P192" s="43" t="str"/>
      <x:c r="Q192" s="43" t="str"/>
      <x:c r="R192" s="43" t="str"/>
      <x:c r="S192" s="43" t="str"/>
      <x:c r="T192" s="43" t="str">
        <x:v>docs/PRACTICE_PHASE_15_COMPATIBILITY_CLEANUP_AND_SEED_UAT_INVENTORY.md</x:v>
      </x:c>
      <x:c r="U192" s="43" t="str">
        <x:v>practice</x:v>
      </x:c>
      <x:c r="V192" s="43" t="str">
        <x:v>Practice Persistence/Migration</x:v>
      </x:c>
      <x:c r="W192" s="43" t="str"/>
      <x:c r="X192" s="43" t="str"/>
      <x:c r="Y192" s="43" t="str"/>
      <x:c r="Z192" s="43" t="str">
        <x:v>Practice-15A</x:v>
      </x:c>
    </x:row>
    <x:row r="193" ht="58" customHeight="1">
      <x:c r="A193" s="43" t="str">
        <x:v>PRA-15A-07</x:v>
      </x:c>
      <x:c r="B193" s="43" t="str">
        <x:v>PRA-15A</x:v>
      </x:c>
      <x:c r="C193" s="43" t="n">
        <x:v>15</x:v>
      </x:c>
      <x:c r="D193" s="43" t="str">
        <x:v>15A</x:v>
      </x:c>
      <x:c r="E193" s="43" t="str">
        <x:v>Work Item</x:v>
      </x:c>
      <x:c r="F193" s="43" t="str">
        <x:v>Task</x:v>
      </x:c>
      <x:c r="G193" s="43" t="str">
        <x:v>Controlled cleanup batch and static no-legacy audit</x:v>
      </x:c>
      <x:c r="H193" s="43" t="str">
        <x:v>Compatibility &amp; Migration</x:v>
      </x:c>
      <x:c r="I193" s="43" t="str">
        <x:v>Backlog</x:v>
      </x:c>
      <x:c r="J193" s="43" t="str">
        <x:v>NOT_STARTED</x:v>
      </x:c>
      <x:c r="K193" s="43" t="str">
        <x:v>Medium</x:v>
      </x:c>
      <x:c r="L193" s="43" t="str">
        <x:v>Informational</x:v>
      </x:c>
      <x:c r="M193" s="43" t="str">
        <x:v>Current Inventory</x:v>
      </x:c>
      <x:c r="N193" s="43" t="str">
        <x:v>Yes</x:v>
      </x:c>
      <x:c r="O193" s="43" t="str"/>
      <x:c r="P193" s="43" t="str"/>
      <x:c r="Q193" s="43" t="str"/>
      <x:c r="R193" s="43" t="str"/>
      <x:c r="S193" s="43" t="str"/>
      <x:c r="T193" s="43" t="str">
        <x:v>docs/PRACTICE_PHASE_15_COMPATIBILITY_CLEANUP_AND_SEED_UAT_INVENTORY.md</x:v>
      </x:c>
      <x:c r="U193" s="43" t="str">
        <x:v>practice</x:v>
      </x:c>
      <x:c r="V193" s="43" t="str">
        <x:v>Practice Persistence/Migration</x:v>
      </x:c>
      <x:c r="W193" s="43" t="str"/>
      <x:c r="X193" s="43" t="str"/>
      <x:c r="Y193" s="43" t="str"/>
      <x:c r="Z193" s="43" t="str">
        <x:v>Practice-15A</x:v>
      </x:c>
    </x:row>
    <x:row r="194" ht="58" customHeight="1">
      <x:c r="A194" s="43" t="str">
        <x:v>PRA-15A-08</x:v>
      </x:c>
      <x:c r="B194" s="43" t="str">
        <x:v>PRA-15A</x:v>
      </x:c>
      <x:c r="C194" s="43" t="n">
        <x:v>15</x:v>
      </x:c>
      <x:c r="D194" s="43" t="str">
        <x:v>15A</x:v>
      </x:c>
      <x:c r="E194" s="43" t="str">
        <x:v>Work Item</x:v>
      </x:c>
      <x:c r="F194" s="43" t="str">
        <x:v>Task</x:v>
      </x:c>
      <x:c r="G194" s="43" t="str">
        <x:v>Fresh schema and representative upgrade rehearsal</x:v>
      </x:c>
      <x:c r="H194" s="43" t="str">
        <x:v>Compatibility &amp; Migration</x:v>
      </x:c>
      <x:c r="I194" s="43" t="str">
        <x:v>Backlog</x:v>
      </x:c>
      <x:c r="J194" s="43" t="str">
        <x:v>NOT_STARTED</x:v>
      </x:c>
      <x:c r="K194" s="43" t="str">
        <x:v>Medium</x:v>
      </x:c>
      <x:c r="L194" s="43" t="str">
        <x:v>Informational</x:v>
      </x:c>
      <x:c r="M194" s="43" t="str">
        <x:v>Current Inventory</x:v>
      </x:c>
      <x:c r="N194" s="43" t="str">
        <x:v>Yes</x:v>
      </x:c>
      <x:c r="O194" s="43" t="str"/>
      <x:c r="P194" s="43" t="str"/>
      <x:c r="Q194" s="43" t="str"/>
      <x:c r="R194" s="43" t="str"/>
      <x:c r="S194" s="43" t="str"/>
      <x:c r="T194" s="43" t="str">
        <x:v>docs/PRACTICE_PHASE_15_COMPATIBILITY_CLEANUP_AND_SEED_UAT_INVENTORY.md</x:v>
      </x:c>
      <x:c r="U194" s="43" t="str">
        <x:v>practice</x:v>
      </x:c>
      <x:c r="V194" s="43" t="str">
        <x:v>Practice Persistence/Migration</x:v>
      </x:c>
      <x:c r="W194" s="43" t="str"/>
      <x:c r="X194" s="43" t="str"/>
      <x:c r="Y194" s="43" t="str"/>
      <x:c r="Z194" s="43" t="str">
        <x:v>Practice-15A</x:v>
      </x:c>
    </x:row>
    <x:row r="195" ht="58" customHeight="1">
      <x:c r="A195" s="43" t="str">
        <x:v>PRA-15A-09</x:v>
      </x:c>
      <x:c r="B195" s="43" t="str">
        <x:v>PRA-15A</x:v>
      </x:c>
      <x:c r="C195" s="43" t="n">
        <x:v>15</x:v>
      </x:c>
      <x:c r="D195" s="43" t="str">
        <x:v>15A</x:v>
      </x:c>
      <x:c r="E195" s="43" t="str">
        <x:v>Work Item</x:v>
      </x:c>
      <x:c r="F195" s="43" t="str">
        <x:v>Task</x:v>
      </x:c>
      <x:c r="G195" s="43" t="str">
        <x:v>Focused, integration and full-suite automated release gate</x:v>
      </x:c>
      <x:c r="H195" s="43" t="str">
        <x:v>Compatibility &amp; Migration</x:v>
      </x:c>
      <x:c r="I195" s="43" t="str">
        <x:v>Backlog</x:v>
      </x:c>
      <x:c r="J195" s="43" t="str">
        <x:v>NOT_STARTED</x:v>
      </x:c>
      <x:c r="K195" s="43" t="str">
        <x:v>Medium</x:v>
      </x:c>
      <x:c r="L195" s="43" t="str">
        <x:v>Informational</x:v>
      </x:c>
      <x:c r="M195" s="43" t="str">
        <x:v>Current Inventory</x:v>
      </x:c>
      <x:c r="N195" s="43" t="str">
        <x:v>Yes</x:v>
      </x:c>
      <x:c r="O195" s="43" t="str"/>
      <x:c r="P195" s="43" t="str"/>
      <x:c r="Q195" s="43" t="str"/>
      <x:c r="R195" s="43" t="str"/>
      <x:c r="S195" s="43" t="str"/>
      <x:c r="T195" s="43" t="str">
        <x:v>docs/PRACTICE_PHASE_15_COMPATIBILITY_CLEANUP_AND_SEED_UAT_INVENTORY.md</x:v>
      </x:c>
      <x:c r="U195" s="43" t="str">
        <x:v>practice</x:v>
      </x:c>
      <x:c r="V195" s="43" t="str">
        <x:v>Practice Persistence/Migration</x:v>
      </x:c>
      <x:c r="W195" s="43" t="str"/>
      <x:c r="X195" s="43" t="str"/>
      <x:c r="Y195" s="43" t="str"/>
      <x:c r="Z195" s="43" t="str">
        <x:v>Practice-15A</x:v>
      </x:c>
    </x:row>
    <x:row r="196" ht="58" customHeight="1">
      <x:c r="A196" s="43" t="str">
        <x:v>PRA-15B</x:v>
      </x:c>
      <x:c r="B196" s="43" t="str">
        <x:v>PRA-PROGRAM</x:v>
      </x:c>
      <x:c r="C196" s="43" t="n">
        <x:v>15</x:v>
      </x:c>
      <x:c r="D196" s="43" t="str">
        <x:v>15B</x:v>
      </x:c>
      <x:c r="E196" s="43" t="str">
        <x:v>Epic</x:v>
      </x:c>
      <x:c r="F196" s="43" t="str">
        <x:v>Epic</x:v>
      </x:c>
      <x:c r="G196" s="43" t="str">
        <x:v>Premium Canonical Seed &amp; Manual UAT</x:v>
      </x:c>
      <x:c r="H196" s="43" t="str">
        <x:v>UAT</x:v>
      </x:c>
      <x:c r="I196" s="43" t="str">
        <x:v>Backlog</x:v>
      </x:c>
      <x:c r="J196" s="43" t="str">
        <x:v>NOT_STARTED</x:v>
      </x:c>
      <x:c r="K196" s="43" t="str">
        <x:v>Medium</x:v>
      </x:c>
      <x:c r="L196" s="43" t="str">
        <x:v>Informational</x:v>
      </x:c>
      <x:c r="M196" s="43" t="str">
        <x:v>Current Contract</x:v>
      </x:c>
      <x:c r="N196" s="43" t="str">
        <x:v>Yes</x:v>
      </x:c>
      <x:c r="O196" s="43" t="str">
        <x:v>PRA-15A</x:v>
      </x:c>
      <x:c r="P196" s="43" t="str">
        <x:v>Premium Canonical Seed &amp; Manual UAT</x:v>
      </x:c>
      <x:c r="Q196" s="43" t="str">
        <x:v>Deterministic Korean content, complete immutable locks and browser/device role journeys.</x:v>
      </x:c>
      <x:c r="R196" s="43" t="str"/>
      <x:c r="S196" s="43" t="str"/>
      <x:c r="T196" s="43" t="str">
        <x:v>PRACTICE_PHASE_10_16_EXECUTION_BLUEPRINT.md §15B</x:v>
      </x:c>
      <x:c r="U196" s="43" t="str">
        <x:v>practice</x:v>
      </x:c>
      <x:c r="V196" s="43" t="str">
        <x:v>Practice UAT</x:v>
      </x:c>
      <x:c r="W196" s="43" t="str"/>
      <x:c r="X196" s="43" t="str"/>
      <x:c r="Y196" s="43" t="str"/>
      <x:c r="Z196" s="43" t="str">
        <x:v>Practice-15B</x:v>
      </x:c>
    </x:row>
    <x:row r="197" ht="58" customHeight="1">
      <x:c r="A197" s="43" t="str">
        <x:v>PRA-15B-T01</x:v>
      </x:c>
      <x:c r="B197" s="43" t="str">
        <x:v>PRA-15B</x:v>
      </x:c>
      <x:c r="C197" s="43" t="n">
        <x:v>15</x:v>
      </x:c>
      <x:c r="D197" s="43" t="str">
        <x:v>15B</x:v>
      </x:c>
      <x:c r="E197" s="43" t="str">
        <x:v>Work Item</x:v>
      </x:c>
      <x:c r="F197" s="43" t="str">
        <x:v>Task</x:v>
      </x:c>
      <x:c r="G197" s="43" t="str">
        <x:v>Plan and lock Premium Canonical Seed &amp; Manual UAT scope</x:v>
      </x:c>
      <x:c r="H197" s="43" t="str">
        <x:v>UAT</x:v>
      </x:c>
      <x:c r="I197" s="43" t="str">
        <x:v>Backlog</x:v>
      </x:c>
      <x:c r="J197" s="43" t="str">
        <x:v>NOT_STARTED</x:v>
      </x:c>
      <x:c r="K197" s="43" t="str">
        <x:v>Medium</x:v>
      </x:c>
      <x:c r="L197" s="43" t="str">
        <x:v>Informational</x:v>
      </x:c>
      <x:c r="M197" s="43" t="str">
        <x:v>Current Contract</x:v>
      </x:c>
      <x:c r="N197" s="43" t="str">
        <x:v>Yes</x:v>
      </x:c>
      <x:c r="O197" s="43" t="str"/>
      <x:c r="P197" s="43" t="str"/>
      <x:c r="Q197" s="43" t="str">
        <x:v>Owner, environment, evidence and rollback defined.</x:v>
      </x:c>
      <x:c r="R197" s="43" t="str"/>
      <x:c r="S197" s="43" t="str"/>
      <x:c r="T197" s="43" t="str">
        <x:v>PRACTICE_PHASE_10_16_EXECUTION_BLUEPRINT.md §15B</x:v>
      </x:c>
      <x:c r="U197" s="43" t="str">
        <x:v>practice</x:v>
      </x:c>
      <x:c r="V197" s="43" t="str">
        <x:v>Practice UAT</x:v>
      </x:c>
      <x:c r="W197" s="43" t="str"/>
      <x:c r="X197" s="43" t="str"/>
      <x:c r="Y197" s="43" t="str"/>
      <x:c r="Z197" s="43" t="str">
        <x:v>Practice-15B</x:v>
      </x:c>
    </x:row>
    <x:row r="198" ht="58" customHeight="1">
      <x:c r="A198" s="43" t="str">
        <x:v>PRA-15B-T02</x:v>
      </x:c>
      <x:c r="B198" s="43" t="str">
        <x:v>PRA-15B</x:v>
      </x:c>
      <x:c r="C198" s="43" t="n">
        <x:v>15</x:v>
      </x:c>
      <x:c r="D198" s="43" t="str">
        <x:v>15B</x:v>
      </x:c>
      <x:c r="E198" s="43" t="str">
        <x:v>Work Item</x:v>
      </x:c>
      <x:c r="F198" s="43" t="str">
        <x:v>Task</x:v>
      </x:c>
      <x:c r="G198" s="43" t="str">
        <x:v>Execute Premium Canonical Seed &amp; Manual UAT gate</x:v>
      </x:c>
      <x:c r="H198" s="43" t="str">
        <x:v>UAT</x:v>
      </x:c>
      <x:c r="I198" s="43" t="str">
        <x:v>Backlog</x:v>
      </x:c>
      <x:c r="J198" s="43" t="str">
        <x:v>NOT_STARTED</x:v>
      </x:c>
      <x:c r="K198" s="43" t="str">
        <x:v>Medium</x:v>
      </x:c>
      <x:c r="L198" s="43" t="str">
        <x:v>Informational</x:v>
      </x:c>
      <x:c r="M198" s="43" t="str">
        <x:v>Current Contract</x:v>
      </x:c>
      <x:c r="N198" s="43" t="str">
        <x:v>Yes</x:v>
      </x:c>
      <x:c r="O198" s="43" t="str"/>
      <x:c r="P198" s="43" t="str"/>
      <x:c r="Q198" s="43" t="str">
        <x:v>Deterministic Korean content, complete immutable locks and browser/device role journeys.</x:v>
      </x:c>
      <x:c r="R198" s="43" t="str"/>
      <x:c r="S198" s="43" t="str"/>
      <x:c r="T198" s="43" t="str">
        <x:v>PRACTICE_PHASE_10_16_EXECUTION_BLUEPRINT.md §15B</x:v>
      </x:c>
      <x:c r="U198" s="43" t="str">
        <x:v>practice</x:v>
      </x:c>
      <x:c r="V198" s="43" t="str">
        <x:v>Practice UAT</x:v>
      </x:c>
      <x:c r="W198" s="43" t="str"/>
      <x:c r="X198" s="43" t="str"/>
      <x:c r="Y198" s="43" t="str"/>
      <x:c r="Z198" s="43" t="str">
        <x:v>Practice-15B</x:v>
      </x:c>
    </x:row>
    <x:row r="199" ht="58" customHeight="1">
      <x:c r="A199" s="43" t="str">
        <x:v>PRA-15B-T03</x:v>
      </x:c>
      <x:c r="B199" s="43" t="str">
        <x:v>PRA-15B</x:v>
      </x:c>
      <x:c r="C199" s="43" t="n">
        <x:v>15</x:v>
      </x:c>
      <x:c r="D199" s="43" t="str">
        <x:v>15B</x:v>
      </x:c>
      <x:c r="E199" s="43" t="str">
        <x:v>Work Item</x:v>
      </x:c>
      <x:c r="F199" s="43" t="str">
        <x:v>Task</x:v>
      </x:c>
      <x:c r="G199" s="43" t="str">
        <x:v>Record Premium Canonical Seed &amp; Manual UAT evidence and verdict</x:v>
      </x:c>
      <x:c r="H199" s="43" t="str">
        <x:v>UAT</x:v>
      </x:c>
      <x:c r="I199" s="43" t="str">
        <x:v>Backlog</x:v>
      </x:c>
      <x:c r="J199" s="43" t="str">
        <x:v>NOT_STARTED</x:v>
      </x:c>
      <x:c r="K199" s="43" t="str">
        <x:v>Medium</x:v>
      </x:c>
      <x:c r="L199" s="43" t="str">
        <x:v>Informational</x:v>
      </x:c>
      <x:c r="M199" s="43" t="str">
        <x:v>Current Contract</x:v>
      </x:c>
      <x:c r="N199" s="43" t="str">
        <x:v>Yes</x:v>
      </x:c>
      <x:c r="O199" s="43" t="str"/>
      <x:c r="P199" s="43" t="str"/>
      <x:c r="Q199" s="43" t="str">
        <x:v>Evidence linked; debt/blocker explicitly routed.</x:v>
      </x:c>
      <x:c r="R199" s="43" t="str"/>
      <x:c r="S199" s="43" t="str"/>
      <x:c r="T199" s="43" t="str">
        <x:v>PRACTICE_PHASE_10_16_EXECUTION_BLUEPRINT.md §15B</x:v>
      </x:c>
      <x:c r="U199" s="43" t="str">
        <x:v>practice</x:v>
      </x:c>
      <x:c r="V199" s="43" t="str">
        <x:v>Practice UAT</x:v>
      </x:c>
      <x:c r="W199" s="43" t="str"/>
      <x:c r="X199" s="43" t="str"/>
      <x:c r="Y199" s="43" t="str"/>
      <x:c r="Z199" s="43" t="str">
        <x:v>Practice-15B</x:v>
      </x:c>
    </x:row>
    <x:row r="200" ht="58" customHeight="1">
      <x:c r="A200" s="43" t="str">
        <x:v>PRA-15C</x:v>
      </x:c>
      <x:c r="B200" s="43" t="str">
        <x:v>PRA-PROGRAM</x:v>
      </x:c>
      <x:c r="C200" s="43" t="n">
        <x:v>15</x:v>
      </x:c>
      <x:c r="D200" s="43" t="str">
        <x:v>15C</x:v>
      </x:c>
      <x:c r="E200" s="43" t="str">
        <x:v>Epic</x:v>
      </x:c>
      <x:c r="F200" s="43" t="str">
        <x:v>Epic</x:v>
      </x:c>
      <x:c r="G200" s="43" t="str">
        <x:v>Performance &amp; Scale</x:v>
      </x:c>
      <x:c r="H200" s="43" t="str">
        <x:v>Performance</x:v>
      </x:c>
      <x:c r="I200" s="43" t="str">
        <x:v>Backlog</x:v>
      </x:c>
      <x:c r="J200" s="43" t="str">
        <x:v>NOT_STARTED</x:v>
      </x:c>
      <x:c r="K200" s="43" t="str">
        <x:v>Medium</x:v>
      </x:c>
      <x:c r="L200" s="43" t="str">
        <x:v>Informational</x:v>
      </x:c>
      <x:c r="M200" s="43" t="str">
        <x:v>Current Contract</x:v>
      </x:c>
      <x:c r="N200" s="43" t="str">
        <x:v>Yes</x:v>
      </x:c>
      <x:c r="O200" s="43" t="str">
        <x:v>PRA-15A,PRA-15B</x:v>
      </x:c>
      <x:c r="P200" s="43" t="str">
        <x:v>Performance &amp; Scale</x:v>
      </x:c>
      <x:c r="Q200" s="43" t="str">
        <x:v>Catalog/history/concurrent submit/explanation burst/provider timeout/cleanup load evidence.</x:v>
      </x:c>
      <x:c r="R200" s="43" t="str"/>
      <x:c r="S200" s="43" t="str"/>
      <x:c r="T200" s="43" t="str">
        <x:v>PRACTICE_PHASE_10_16_EXECUTION_BLUEPRINT.md §15C</x:v>
      </x:c>
      <x:c r="U200" s="43" t="str">
        <x:v>practice</x:v>
      </x:c>
      <x:c r="V200" s="43" t="str">
        <x:v>Practice Performance</x:v>
      </x:c>
      <x:c r="W200" s="43" t="str"/>
      <x:c r="X200" s="43" t="str"/>
      <x:c r="Y200" s="43" t="str"/>
      <x:c r="Z200" s="43" t="str">
        <x:v>Practice-15C</x:v>
      </x:c>
    </x:row>
    <x:row r="201" ht="58" customHeight="1">
      <x:c r="A201" s="43" t="str">
        <x:v>PRA-15C-T01</x:v>
      </x:c>
      <x:c r="B201" s="43" t="str">
        <x:v>PRA-15C</x:v>
      </x:c>
      <x:c r="C201" s="43" t="n">
        <x:v>15</x:v>
      </x:c>
      <x:c r="D201" s="43" t="str">
        <x:v>15C</x:v>
      </x:c>
      <x:c r="E201" s="43" t="str">
        <x:v>Work Item</x:v>
      </x:c>
      <x:c r="F201" s="43" t="str">
        <x:v>Task</x:v>
      </x:c>
      <x:c r="G201" s="43" t="str">
        <x:v>Plan and lock Performance &amp; Scale scope</x:v>
      </x:c>
      <x:c r="H201" s="43" t="str">
        <x:v>Performance</x:v>
      </x:c>
      <x:c r="I201" s="43" t="str">
        <x:v>Backlog</x:v>
      </x:c>
      <x:c r="J201" s="43" t="str">
        <x:v>NOT_STARTED</x:v>
      </x:c>
      <x:c r="K201" s="43" t="str">
        <x:v>Medium</x:v>
      </x:c>
      <x:c r="L201" s="43" t="str">
        <x:v>Informational</x:v>
      </x:c>
      <x:c r="M201" s="43" t="str">
        <x:v>Current Contract</x:v>
      </x:c>
      <x:c r="N201" s="43" t="str">
        <x:v>Yes</x:v>
      </x:c>
      <x:c r="O201" s="43" t="str"/>
      <x:c r="P201" s="43" t="str"/>
      <x:c r="Q201" s="43" t="str">
        <x:v>Owner, environment, evidence and rollback defined.</x:v>
      </x:c>
      <x:c r="R201" s="43" t="str"/>
      <x:c r="S201" s="43" t="str"/>
      <x:c r="T201" s="43" t="str">
        <x:v>PRACTICE_PHASE_10_16_EXECUTION_BLUEPRINT.md §15C</x:v>
      </x:c>
      <x:c r="U201" s="43" t="str">
        <x:v>practice</x:v>
      </x:c>
      <x:c r="V201" s="43" t="str">
        <x:v>Practice Performance</x:v>
      </x:c>
      <x:c r="W201" s="43" t="str"/>
      <x:c r="X201" s="43" t="str"/>
      <x:c r="Y201" s="43" t="str"/>
      <x:c r="Z201" s="43" t="str">
        <x:v>Practice-15C</x:v>
      </x:c>
    </x:row>
    <x:row r="202" ht="58" customHeight="1">
      <x:c r="A202" s="43" t="str">
        <x:v>PRA-15C-T02</x:v>
      </x:c>
      <x:c r="B202" s="43" t="str">
        <x:v>PRA-15C</x:v>
      </x:c>
      <x:c r="C202" s="43" t="n">
        <x:v>15</x:v>
      </x:c>
      <x:c r="D202" s="43" t="str">
        <x:v>15C</x:v>
      </x:c>
      <x:c r="E202" s="43" t="str">
        <x:v>Work Item</x:v>
      </x:c>
      <x:c r="F202" s="43" t="str">
        <x:v>Task</x:v>
      </x:c>
      <x:c r="G202" s="43" t="str">
        <x:v>Execute Performance &amp; Scale gate</x:v>
      </x:c>
      <x:c r="H202" s="43" t="str">
        <x:v>Performance</x:v>
      </x:c>
      <x:c r="I202" s="43" t="str">
        <x:v>Backlog</x:v>
      </x:c>
      <x:c r="J202" s="43" t="str">
        <x:v>NOT_STARTED</x:v>
      </x:c>
      <x:c r="K202" s="43" t="str">
        <x:v>Medium</x:v>
      </x:c>
      <x:c r="L202" s="43" t="str">
        <x:v>Informational</x:v>
      </x:c>
      <x:c r="M202" s="43" t="str">
        <x:v>Current Contract</x:v>
      </x:c>
      <x:c r="N202" s="43" t="str">
        <x:v>Yes</x:v>
      </x:c>
      <x:c r="O202" s="43" t="str"/>
      <x:c r="P202" s="43" t="str"/>
      <x:c r="Q202" s="43" t="str">
        <x:v>Catalog/history/concurrent submit/explanation burst/provider timeout/cleanup load evidence.</x:v>
      </x:c>
      <x:c r="R202" s="43" t="str"/>
      <x:c r="S202" s="43" t="str"/>
      <x:c r="T202" s="43" t="str">
        <x:v>PRACTICE_PHASE_10_16_EXECUTION_BLUEPRINT.md §15C</x:v>
      </x:c>
      <x:c r="U202" s="43" t="str">
        <x:v>practice</x:v>
      </x:c>
      <x:c r="V202" s="43" t="str">
        <x:v>Practice Performance</x:v>
      </x:c>
      <x:c r="W202" s="43" t="str"/>
      <x:c r="X202" s="43" t="str"/>
      <x:c r="Y202" s="43" t="str"/>
      <x:c r="Z202" s="43" t="str">
        <x:v>Practice-15C</x:v>
      </x:c>
    </x:row>
    <x:row r="203" ht="58" customHeight="1">
      <x:c r="A203" s="43" t="str">
        <x:v>PRA-15C-T03</x:v>
      </x:c>
      <x:c r="B203" s="43" t="str">
        <x:v>PRA-15C</x:v>
      </x:c>
      <x:c r="C203" s="43" t="n">
        <x:v>15</x:v>
      </x:c>
      <x:c r="D203" s="43" t="str">
        <x:v>15C</x:v>
      </x:c>
      <x:c r="E203" s="43" t="str">
        <x:v>Work Item</x:v>
      </x:c>
      <x:c r="F203" s="43" t="str">
        <x:v>Task</x:v>
      </x:c>
      <x:c r="G203" s="43" t="str">
        <x:v>Record Performance &amp; Scale evidence and verdict</x:v>
      </x:c>
      <x:c r="H203" s="43" t="str">
        <x:v>Performance</x:v>
      </x:c>
      <x:c r="I203" s="43" t="str">
        <x:v>Backlog</x:v>
      </x:c>
      <x:c r="J203" s="43" t="str">
        <x:v>NOT_STARTED</x:v>
      </x:c>
      <x:c r="K203" s="43" t="str">
        <x:v>Medium</x:v>
      </x:c>
      <x:c r="L203" s="43" t="str">
        <x:v>Informational</x:v>
      </x:c>
      <x:c r="M203" s="43" t="str">
        <x:v>Current Contract</x:v>
      </x:c>
      <x:c r="N203" s="43" t="str">
        <x:v>Yes</x:v>
      </x:c>
      <x:c r="O203" s="43" t="str"/>
      <x:c r="P203" s="43" t="str"/>
      <x:c r="Q203" s="43" t="str">
        <x:v>Evidence linked; debt/blocker explicitly routed.</x:v>
      </x:c>
      <x:c r="R203" s="43" t="str"/>
      <x:c r="S203" s="43" t="str"/>
      <x:c r="T203" s="43" t="str">
        <x:v>PRACTICE_PHASE_10_16_EXECUTION_BLUEPRINT.md §15C</x:v>
      </x:c>
      <x:c r="U203" s="43" t="str">
        <x:v>practice</x:v>
      </x:c>
      <x:c r="V203" s="43" t="str">
        <x:v>Practice Performance</x:v>
      </x:c>
      <x:c r="W203" s="43" t="str"/>
      <x:c r="X203" s="43" t="str"/>
      <x:c r="Y203" s="43" t="str"/>
      <x:c r="Z203" s="43" t="str">
        <x:v>Practice-15C</x:v>
      </x:c>
    </x:row>
    <x:row r="204" ht="58" customHeight="1">
      <x:c r="A204" s="43" t="str">
        <x:v>PRA-15D</x:v>
      </x:c>
      <x:c r="B204" s="43" t="str">
        <x:v>PRA-PROGRAM</x:v>
      </x:c>
      <x:c r="C204" s="43" t="n">
        <x:v>15</x:v>
      </x:c>
      <x:c r="D204" s="43" t="str">
        <x:v>15D</x:v>
      </x:c>
      <x:c r="E204" s="43" t="str">
        <x:v>Epic</x:v>
      </x:c>
      <x:c r="F204" s="43" t="str">
        <x:v>Epic</x:v>
      </x:c>
      <x:c r="G204" s="43" t="str">
        <x:v>AI Calibration</x:v>
      </x:c>
      <x:c r="H204" s="43" t="str">
        <x:v>AI Calibration</x:v>
      </x:c>
      <x:c r="I204" s="43" t="str">
        <x:v>Backlog</x:v>
      </x:c>
      <x:c r="J204" s="43" t="str">
        <x:v>NOT_STARTED</x:v>
      </x:c>
      <x:c r="K204" s="43" t="str">
        <x:v>Medium</x:v>
      </x:c>
      <x:c r="L204" s="43" t="str">
        <x:v>Informational</x:v>
      </x:c>
      <x:c r="M204" s="43" t="str">
        <x:v>Current Contract</x:v>
      </x:c>
      <x:c r="N204" s="43" t="str">
        <x:v>Yes</x:v>
      </x:c>
      <x:c r="O204" s="43" t="str">
        <x:v>PRA-15A,PRA-15B</x:v>
      </x:c>
      <x:c r="P204" s="43" t="str">
        <x:v>AI Calibration</x:v>
      </x:c>
      <x:c r="Q204" s="43" t="str">
        <x:v>Teacher-reviewed Writing/Speaking fixtures and R/L explanation factuality.</x:v>
      </x:c>
      <x:c r="R204" s="43" t="str"/>
      <x:c r="S204" s="43" t="str"/>
      <x:c r="T204" s="43" t="str">
        <x:v>PRACTICE_PHASE_10_16_EXECUTION_BLUEPRINT.md §15D</x:v>
      </x:c>
      <x:c r="U204" s="43" t="str">
        <x:v>practice</x:v>
      </x:c>
      <x:c r="V204" s="43" t="str">
        <x:v>Practice AI</x:v>
      </x:c>
      <x:c r="W204" s="43" t="str"/>
      <x:c r="X204" s="43" t="str"/>
      <x:c r="Y204" s="43" t="str"/>
      <x:c r="Z204" s="43" t="str">
        <x:v>Practice-15D</x:v>
      </x:c>
    </x:row>
    <x:row r="205" ht="58" customHeight="1">
      <x:c r="A205" s="43" t="str">
        <x:v>PRA-15D-T01</x:v>
      </x:c>
      <x:c r="B205" s="43" t="str">
        <x:v>PRA-15D</x:v>
      </x:c>
      <x:c r="C205" s="43" t="n">
        <x:v>15</x:v>
      </x:c>
      <x:c r="D205" s="43" t="str">
        <x:v>15D</x:v>
      </x:c>
      <x:c r="E205" s="43" t="str">
        <x:v>Work Item</x:v>
      </x:c>
      <x:c r="F205" s="43" t="str">
        <x:v>Task</x:v>
      </x:c>
      <x:c r="G205" s="43" t="str">
        <x:v>Plan and lock AI Calibration scope</x:v>
      </x:c>
      <x:c r="H205" s="43" t="str">
        <x:v>AI Calibration</x:v>
      </x:c>
      <x:c r="I205" s="43" t="str">
        <x:v>Backlog</x:v>
      </x:c>
      <x:c r="J205" s="43" t="str">
        <x:v>NOT_STARTED</x:v>
      </x:c>
      <x:c r="K205" s="43" t="str">
        <x:v>Medium</x:v>
      </x:c>
      <x:c r="L205" s="43" t="str">
        <x:v>Informational</x:v>
      </x:c>
      <x:c r="M205" s="43" t="str">
        <x:v>Current Contract</x:v>
      </x:c>
      <x:c r="N205" s="43" t="str">
        <x:v>Yes</x:v>
      </x:c>
      <x:c r="O205" s="43" t="str"/>
      <x:c r="P205" s="43" t="str"/>
      <x:c r="Q205" s="43" t="str">
        <x:v>Owner, environment, evidence and rollback defined.</x:v>
      </x:c>
      <x:c r="R205" s="43" t="str"/>
      <x:c r="S205" s="43" t="str"/>
      <x:c r="T205" s="43" t="str">
        <x:v>PRACTICE_PHASE_10_16_EXECUTION_BLUEPRINT.md §15D</x:v>
      </x:c>
      <x:c r="U205" s="43" t="str">
        <x:v>practice</x:v>
      </x:c>
      <x:c r="V205" s="43" t="str">
        <x:v>Practice AI</x:v>
      </x:c>
      <x:c r="W205" s="43" t="str"/>
      <x:c r="X205" s="43" t="str"/>
      <x:c r="Y205" s="43" t="str"/>
      <x:c r="Z205" s="43" t="str">
        <x:v>Practice-15D</x:v>
      </x:c>
    </x:row>
    <x:row r="206" ht="58" customHeight="1">
      <x:c r="A206" s="43" t="str">
        <x:v>PRA-15D-T02</x:v>
      </x:c>
      <x:c r="B206" s="43" t="str">
        <x:v>PRA-15D</x:v>
      </x:c>
      <x:c r="C206" s="43" t="n">
        <x:v>15</x:v>
      </x:c>
      <x:c r="D206" s="43" t="str">
        <x:v>15D</x:v>
      </x:c>
      <x:c r="E206" s="43" t="str">
        <x:v>Work Item</x:v>
      </x:c>
      <x:c r="F206" s="43" t="str">
        <x:v>Task</x:v>
      </x:c>
      <x:c r="G206" s="43" t="str">
        <x:v>Execute AI Calibration gate</x:v>
      </x:c>
      <x:c r="H206" s="43" t="str">
        <x:v>AI Calibration</x:v>
      </x:c>
      <x:c r="I206" s="43" t="str">
        <x:v>Backlog</x:v>
      </x:c>
      <x:c r="J206" s="43" t="str">
        <x:v>NOT_STARTED</x:v>
      </x:c>
      <x:c r="K206" s="43" t="str">
        <x:v>Medium</x:v>
      </x:c>
      <x:c r="L206" s="43" t="str">
        <x:v>Informational</x:v>
      </x:c>
      <x:c r="M206" s="43" t="str">
        <x:v>Current Contract</x:v>
      </x:c>
      <x:c r="N206" s="43" t="str">
        <x:v>Yes</x:v>
      </x:c>
      <x:c r="O206" s="43" t="str"/>
      <x:c r="P206" s="43" t="str"/>
      <x:c r="Q206" s="43" t="str">
        <x:v>Teacher-reviewed Writing/Speaking fixtures and R/L explanation factuality.</x:v>
      </x:c>
      <x:c r="R206" s="43" t="str"/>
      <x:c r="S206" s="43" t="str"/>
      <x:c r="T206" s="43" t="str">
        <x:v>PRACTICE_PHASE_10_16_EXECUTION_BLUEPRINT.md §15D</x:v>
      </x:c>
      <x:c r="U206" s="43" t="str">
        <x:v>practice</x:v>
      </x:c>
      <x:c r="V206" s="43" t="str">
        <x:v>Practice AI</x:v>
      </x:c>
      <x:c r="W206" s="43" t="str"/>
      <x:c r="X206" s="43" t="str"/>
      <x:c r="Y206" s="43" t="str"/>
      <x:c r="Z206" s="43" t="str">
        <x:v>Practice-15D</x:v>
      </x:c>
    </x:row>
    <x:row r="207" ht="58" customHeight="1">
      <x:c r="A207" s="43" t="str">
        <x:v>PRA-15D-T03</x:v>
      </x:c>
      <x:c r="B207" s="43" t="str">
        <x:v>PRA-15D</x:v>
      </x:c>
      <x:c r="C207" s="43" t="n">
        <x:v>15</x:v>
      </x:c>
      <x:c r="D207" s="43" t="str">
        <x:v>15D</x:v>
      </x:c>
      <x:c r="E207" s="43" t="str">
        <x:v>Work Item</x:v>
      </x:c>
      <x:c r="F207" s="43" t="str">
        <x:v>Task</x:v>
      </x:c>
      <x:c r="G207" s="43" t="str">
        <x:v>Record AI Calibration evidence and verdict</x:v>
      </x:c>
      <x:c r="H207" s="43" t="str">
        <x:v>AI Calibration</x:v>
      </x:c>
      <x:c r="I207" s="43" t="str">
        <x:v>Backlog</x:v>
      </x:c>
      <x:c r="J207" s="43" t="str">
        <x:v>NOT_STARTED</x:v>
      </x:c>
      <x:c r="K207" s="43" t="str">
        <x:v>Medium</x:v>
      </x:c>
      <x:c r="L207" s="43" t="str">
        <x:v>Informational</x:v>
      </x:c>
      <x:c r="M207" s="43" t="str">
        <x:v>Current Contract</x:v>
      </x:c>
      <x:c r="N207" s="43" t="str">
        <x:v>Yes</x:v>
      </x:c>
      <x:c r="O207" s="43" t="str"/>
      <x:c r="P207" s="43" t="str"/>
      <x:c r="Q207" s="43" t="str">
        <x:v>Evidence linked; debt/blocker explicitly routed.</x:v>
      </x:c>
      <x:c r="R207" s="43" t="str"/>
      <x:c r="S207" s="43" t="str"/>
      <x:c r="T207" s="43" t="str">
        <x:v>PRACTICE_PHASE_10_16_EXECUTION_BLUEPRINT.md §15D</x:v>
      </x:c>
      <x:c r="U207" s="43" t="str">
        <x:v>practice</x:v>
      </x:c>
      <x:c r="V207" s="43" t="str">
        <x:v>Practice AI</x:v>
      </x:c>
      <x:c r="W207" s="43" t="str"/>
      <x:c r="X207" s="43" t="str"/>
      <x:c r="Y207" s="43" t="str"/>
      <x:c r="Z207" s="43" t="str">
        <x:v>Practice-15D</x:v>
      </x:c>
    </x:row>
    <x:row r="208" ht="58" customHeight="1">
      <x:c r="A208" s="43" t="str">
        <x:v>PRA-15E</x:v>
      </x:c>
      <x:c r="B208" s="43" t="str">
        <x:v>PRA-PROGRAM</x:v>
      </x:c>
      <x:c r="C208" s="43" t="n">
        <x:v>15</x:v>
      </x:c>
      <x:c r="D208" s="43" t="str">
        <x:v>15E</x:v>
      </x:c>
      <x:c r="E208" s="43" t="str">
        <x:v>Epic</x:v>
      </x:c>
      <x:c r="F208" s="43" t="str">
        <x:v>Epic</x:v>
      </x:c>
      <x:c r="G208" s="43" t="str">
        <x:v>Production Storage &amp; Privacy</x:v>
      </x:c>
      <x:c r="H208" s="43" t="str">
        <x:v>Storage &amp; Privacy</x:v>
      </x:c>
      <x:c r="I208" s="43" t="str">
        <x:v>Backlog</x:v>
      </x:c>
      <x:c r="J208" s="43" t="str">
        <x:v>NOT_STARTED</x:v>
      </x:c>
      <x:c r="K208" s="43" t="str">
        <x:v>Medium</x:v>
      </x:c>
      <x:c r="L208" s="43" t="str">
        <x:v>Informational</x:v>
      </x:c>
      <x:c r="M208" s="43" t="str">
        <x:v>Current Contract</x:v>
      </x:c>
      <x:c r="N208" s="43" t="str">
        <x:v>Yes</x:v>
      </x:c>
      <x:c r="O208" s="43" t="str">
        <x:v>PRA-15A,PRA-15B</x:v>
      </x:c>
      <x:c r="P208" s="43" t="str">
        <x:v>Production Storage &amp; Privacy</x:v>
      </x:c>
      <x:c r="Q208" s="43" t="str">
        <x:v>R2, migration, consent, retention, backup/restore and multi-node cleanup.</x:v>
      </x:c>
      <x:c r="R208" s="43" t="str"/>
      <x:c r="S208" s="43" t="str"/>
      <x:c r="T208" s="43" t="str">
        <x:v>PRACTICE_PHASE_10_16_EXECUTION_BLUEPRINT.md §15E</x:v>
      </x:c>
      <x:c r="U208" s="43" t="str">
        <x:v>practice</x:v>
      </x:c>
      <x:c r="V208" s="43" t="str">
        <x:v>Practice Media/Storage</x:v>
      </x:c>
      <x:c r="W208" s="43" t="str"/>
      <x:c r="X208" s="43" t="str"/>
      <x:c r="Y208" s="43" t="str"/>
      <x:c r="Z208" s="43" t="str">
        <x:v>Practice-15E</x:v>
      </x:c>
    </x:row>
    <x:row r="209" ht="58" customHeight="1">
      <x:c r="A209" s="43" t="str">
        <x:v>PRA-15E-T01</x:v>
      </x:c>
      <x:c r="B209" s="43" t="str">
        <x:v>PRA-15E</x:v>
      </x:c>
      <x:c r="C209" s="43" t="n">
        <x:v>15</x:v>
      </x:c>
      <x:c r="D209" s="43" t="str">
        <x:v>15E</x:v>
      </x:c>
      <x:c r="E209" s="43" t="str">
        <x:v>Work Item</x:v>
      </x:c>
      <x:c r="F209" s="43" t="str">
        <x:v>Task</x:v>
      </x:c>
      <x:c r="G209" s="43" t="str">
        <x:v>Plan and lock Production Storage &amp; Privacy scope</x:v>
      </x:c>
      <x:c r="H209" s="43" t="str">
        <x:v>Storage &amp; Privacy</x:v>
      </x:c>
      <x:c r="I209" s="43" t="str">
        <x:v>Backlog</x:v>
      </x:c>
      <x:c r="J209" s="43" t="str">
        <x:v>NOT_STARTED</x:v>
      </x:c>
      <x:c r="K209" s="43" t="str">
        <x:v>Medium</x:v>
      </x:c>
      <x:c r="L209" s="43" t="str">
        <x:v>Informational</x:v>
      </x:c>
      <x:c r="M209" s="43" t="str">
        <x:v>Current Contract</x:v>
      </x:c>
      <x:c r="N209" s="43" t="str">
        <x:v>Yes</x:v>
      </x:c>
      <x:c r="O209" s="43" t="str"/>
      <x:c r="P209" s="43" t="str"/>
      <x:c r="Q209" s="43" t="str">
        <x:v>Owner, environment, evidence and rollback defined.</x:v>
      </x:c>
      <x:c r="R209" s="43" t="str"/>
      <x:c r="S209" s="43" t="str"/>
      <x:c r="T209" s="43" t="str">
        <x:v>PRACTICE_PHASE_10_16_EXECUTION_BLUEPRINT.md §15E</x:v>
      </x:c>
      <x:c r="U209" s="43" t="str">
        <x:v>practice</x:v>
      </x:c>
      <x:c r="V209" s="43" t="str">
        <x:v>Practice Media/Storage</x:v>
      </x:c>
      <x:c r="W209" s="43" t="str"/>
      <x:c r="X209" s="43" t="str"/>
      <x:c r="Y209" s="43" t="str"/>
      <x:c r="Z209" s="43" t="str">
        <x:v>Practice-15E</x:v>
      </x:c>
    </x:row>
    <x:row r="210" ht="58" customHeight="1">
      <x:c r="A210" s="43" t="str">
        <x:v>PRA-15E-T02</x:v>
      </x:c>
      <x:c r="B210" s="43" t="str">
        <x:v>PRA-15E</x:v>
      </x:c>
      <x:c r="C210" s="43" t="n">
        <x:v>15</x:v>
      </x:c>
      <x:c r="D210" s="43" t="str">
        <x:v>15E</x:v>
      </x:c>
      <x:c r="E210" s="43" t="str">
        <x:v>Work Item</x:v>
      </x:c>
      <x:c r="F210" s="43" t="str">
        <x:v>Task</x:v>
      </x:c>
      <x:c r="G210" s="43" t="str">
        <x:v>Execute Production Storage &amp; Privacy gate</x:v>
      </x:c>
      <x:c r="H210" s="43" t="str">
        <x:v>Storage &amp; Privacy</x:v>
      </x:c>
      <x:c r="I210" s="43" t="str">
        <x:v>Backlog</x:v>
      </x:c>
      <x:c r="J210" s="43" t="str">
        <x:v>NOT_STARTED</x:v>
      </x:c>
      <x:c r="K210" s="43" t="str">
        <x:v>Medium</x:v>
      </x:c>
      <x:c r="L210" s="43" t="str">
        <x:v>Informational</x:v>
      </x:c>
      <x:c r="M210" s="43" t="str">
        <x:v>Current Contract</x:v>
      </x:c>
      <x:c r="N210" s="43" t="str">
        <x:v>Yes</x:v>
      </x:c>
      <x:c r="O210" s="43" t="str"/>
      <x:c r="P210" s="43" t="str"/>
      <x:c r="Q210" s="43" t="str">
        <x:v>R2, migration, consent, retention, backup/restore and multi-node cleanup.</x:v>
      </x:c>
      <x:c r="R210" s="43" t="str"/>
      <x:c r="S210" s="43" t="str"/>
      <x:c r="T210" s="43" t="str">
        <x:v>PRACTICE_PHASE_10_16_EXECUTION_BLUEPRINT.md §15E</x:v>
      </x:c>
      <x:c r="U210" s="43" t="str">
        <x:v>practice</x:v>
      </x:c>
      <x:c r="V210" s="43" t="str">
        <x:v>Practice Media/Storage</x:v>
      </x:c>
      <x:c r="W210" s="43" t="str"/>
      <x:c r="X210" s="43" t="str"/>
      <x:c r="Y210" s="43" t="str"/>
      <x:c r="Z210" s="43" t="str">
        <x:v>Practice-15E</x:v>
      </x:c>
    </x:row>
    <x:row r="211" ht="58" customHeight="1">
      <x:c r="A211" s="43" t="str">
        <x:v>PRA-15E-T03</x:v>
      </x:c>
      <x:c r="B211" s="43" t="str">
        <x:v>PRA-15E</x:v>
      </x:c>
      <x:c r="C211" s="43" t="n">
        <x:v>15</x:v>
      </x:c>
      <x:c r="D211" s="43" t="str">
        <x:v>15E</x:v>
      </x:c>
      <x:c r="E211" s="43" t="str">
        <x:v>Work Item</x:v>
      </x:c>
      <x:c r="F211" s="43" t="str">
        <x:v>Task</x:v>
      </x:c>
      <x:c r="G211" s="43" t="str">
        <x:v>Record Production Storage &amp; Privacy evidence and verdict</x:v>
      </x:c>
      <x:c r="H211" s="43" t="str">
        <x:v>Storage &amp; Privacy</x:v>
      </x:c>
      <x:c r="I211" s="43" t="str">
        <x:v>Backlog</x:v>
      </x:c>
      <x:c r="J211" s="43" t="str">
        <x:v>NOT_STARTED</x:v>
      </x:c>
      <x:c r="K211" s="43" t="str">
        <x:v>Medium</x:v>
      </x:c>
      <x:c r="L211" s="43" t="str">
        <x:v>Informational</x:v>
      </x:c>
      <x:c r="M211" s="43" t="str">
        <x:v>Current Contract</x:v>
      </x:c>
      <x:c r="N211" s="43" t="str">
        <x:v>Yes</x:v>
      </x:c>
      <x:c r="O211" s="43" t="str"/>
      <x:c r="P211" s="43" t="str"/>
      <x:c r="Q211" s="43" t="str">
        <x:v>Evidence linked; debt/blocker explicitly routed.</x:v>
      </x:c>
      <x:c r="R211" s="43" t="str"/>
      <x:c r="S211" s="43" t="str"/>
      <x:c r="T211" s="43" t="str">
        <x:v>PRACTICE_PHASE_10_16_EXECUTION_BLUEPRINT.md §15E</x:v>
      </x:c>
      <x:c r="U211" s="43" t="str">
        <x:v>practice</x:v>
      </x:c>
      <x:c r="V211" s="43" t="str">
        <x:v>Practice Media/Storage</x:v>
      </x:c>
      <x:c r="W211" s="43" t="str"/>
      <x:c r="X211" s="43" t="str"/>
      <x:c r="Y211" s="43" t="str"/>
      <x:c r="Z211" s="43" t="str">
        <x:v>Practice-15E</x:v>
      </x:c>
    </x:row>
    <x:row r="212" ht="58" customHeight="1">
      <x:c r="A212" s="43" t="str">
        <x:v>PRA-15F</x:v>
      </x:c>
      <x:c r="B212" s="43" t="str">
        <x:v>PRA-PROGRAM</x:v>
      </x:c>
      <x:c r="C212" s="43" t="n">
        <x:v>15</x:v>
      </x:c>
      <x:c r="D212" s="43" t="str">
        <x:v>15F</x:v>
      </x:c>
      <x:c r="E212" s="43" t="str">
        <x:v>Epic</x:v>
      </x:c>
      <x:c r="F212" s="43" t="str">
        <x:v>Epic</x:v>
      </x:c>
      <x:c r="G212" s="43" t="str">
        <x:v>Operations</x:v>
      </x:c>
      <x:c r="H212" s="43" t="str">
        <x:v>Operations</x:v>
      </x:c>
      <x:c r="I212" s="43" t="str">
        <x:v>Backlog</x:v>
      </x:c>
      <x:c r="J212" s="43" t="str">
        <x:v>NOT_STARTED</x:v>
      </x:c>
      <x:c r="K212" s="43" t="str">
        <x:v>Medium</x:v>
      </x:c>
      <x:c r="L212" s="43" t="str">
        <x:v>Informational</x:v>
      </x:c>
      <x:c r="M212" s="43" t="str">
        <x:v>Current Contract</x:v>
      </x:c>
      <x:c r="N212" s="43" t="str">
        <x:v>Yes</x:v>
      </x:c>
      <x:c r="O212" s="43" t="str">
        <x:v>PRA-15A,PRA-15B</x:v>
      </x:c>
      <x:c r="P212" s="43" t="str">
        <x:v>Operations</x:v>
      </x:c>
      <x:c r="Q212" s="43" t="str">
        <x:v>Outage/rate-limit/cost runbooks, metrics, feature flags and production-safe configuration.</x:v>
      </x:c>
      <x:c r="R212" s="43" t="str"/>
      <x:c r="S212" s="43" t="str"/>
      <x:c r="T212" s="43" t="str">
        <x:v>PRACTICE_PHASE_10_16_EXECUTION_BLUEPRINT.md §15F</x:v>
      </x:c>
      <x:c r="U212" s="43" t="str">
        <x:v>practice</x:v>
      </x:c>
      <x:c r="V212" s="43" t="str">
        <x:v>Practice Worker/Operations</x:v>
      </x:c>
      <x:c r="W212" s="43" t="str"/>
      <x:c r="X212" s="43" t="str"/>
      <x:c r="Y212" s="43" t="str"/>
      <x:c r="Z212" s="43" t="str">
        <x:v>Practice-15F</x:v>
      </x:c>
    </x:row>
    <x:row r="213" ht="58" customHeight="1">
      <x:c r="A213" s="43" t="str">
        <x:v>PRA-15F-T01</x:v>
      </x:c>
      <x:c r="B213" s="43" t="str">
        <x:v>PRA-15F</x:v>
      </x:c>
      <x:c r="C213" s="43" t="n">
        <x:v>15</x:v>
      </x:c>
      <x:c r="D213" s="43" t="str">
        <x:v>15F</x:v>
      </x:c>
      <x:c r="E213" s="43" t="str">
        <x:v>Work Item</x:v>
      </x:c>
      <x:c r="F213" s="43" t="str">
        <x:v>Task</x:v>
      </x:c>
      <x:c r="G213" s="43" t="str">
        <x:v>Plan and lock Operations scope</x:v>
      </x:c>
      <x:c r="H213" s="43" t="str">
        <x:v>Operations</x:v>
      </x:c>
      <x:c r="I213" s="43" t="str">
        <x:v>Backlog</x:v>
      </x:c>
      <x:c r="J213" s="43" t="str">
        <x:v>NOT_STARTED</x:v>
      </x:c>
      <x:c r="K213" s="43" t="str">
        <x:v>Medium</x:v>
      </x:c>
      <x:c r="L213" s="43" t="str">
        <x:v>Informational</x:v>
      </x:c>
      <x:c r="M213" s="43" t="str">
        <x:v>Current Contract</x:v>
      </x:c>
      <x:c r="N213" s="43" t="str">
        <x:v>Yes</x:v>
      </x:c>
      <x:c r="O213" s="43" t="str"/>
      <x:c r="P213" s="43" t="str"/>
      <x:c r="Q213" s="43" t="str">
        <x:v>Owner, environment, evidence and rollback defined.</x:v>
      </x:c>
      <x:c r="R213" s="43" t="str"/>
      <x:c r="S213" s="43" t="str"/>
      <x:c r="T213" s="43" t="str">
        <x:v>PRACTICE_PHASE_10_16_EXECUTION_BLUEPRINT.md §15F</x:v>
      </x:c>
      <x:c r="U213" s="43" t="str">
        <x:v>practice</x:v>
      </x:c>
      <x:c r="V213" s="43" t="str">
        <x:v>Practice Worker/Operations</x:v>
      </x:c>
      <x:c r="W213" s="43" t="str"/>
      <x:c r="X213" s="43" t="str"/>
      <x:c r="Y213" s="43" t="str"/>
      <x:c r="Z213" s="43" t="str">
        <x:v>Practice-15F</x:v>
      </x:c>
    </x:row>
    <x:row r="214" ht="58" customHeight="1">
      <x:c r="A214" s="43" t="str">
        <x:v>PRA-15F-T02</x:v>
      </x:c>
      <x:c r="B214" s="43" t="str">
        <x:v>PRA-15F</x:v>
      </x:c>
      <x:c r="C214" s="43" t="n">
        <x:v>15</x:v>
      </x:c>
      <x:c r="D214" s="43" t="str">
        <x:v>15F</x:v>
      </x:c>
      <x:c r="E214" s="43" t="str">
        <x:v>Work Item</x:v>
      </x:c>
      <x:c r="F214" s="43" t="str">
        <x:v>Task</x:v>
      </x:c>
      <x:c r="G214" s="43" t="str">
        <x:v>Execute Operations gate</x:v>
      </x:c>
      <x:c r="H214" s="43" t="str">
        <x:v>Operations</x:v>
      </x:c>
      <x:c r="I214" s="43" t="str">
        <x:v>Backlog</x:v>
      </x:c>
      <x:c r="J214" s="43" t="str">
        <x:v>NOT_STARTED</x:v>
      </x:c>
      <x:c r="K214" s="43" t="str">
        <x:v>Medium</x:v>
      </x:c>
      <x:c r="L214" s="43" t="str">
        <x:v>Informational</x:v>
      </x:c>
      <x:c r="M214" s="43" t="str">
        <x:v>Current Contract</x:v>
      </x:c>
      <x:c r="N214" s="43" t="str">
        <x:v>Yes</x:v>
      </x:c>
      <x:c r="O214" s="43" t="str"/>
      <x:c r="P214" s="43" t="str"/>
      <x:c r="Q214" s="43" t="str">
        <x:v>Outage/rate-limit/cost runbooks, metrics, feature flags and production-safe configuration.</x:v>
      </x:c>
      <x:c r="R214" s="43" t="str"/>
      <x:c r="S214" s="43" t="str"/>
      <x:c r="T214" s="43" t="str">
        <x:v>PRACTICE_PHASE_10_16_EXECUTION_BLUEPRINT.md §15F</x:v>
      </x:c>
      <x:c r="U214" s="43" t="str">
        <x:v>practice</x:v>
      </x:c>
      <x:c r="V214" s="43" t="str">
        <x:v>Practice Worker/Operations</x:v>
      </x:c>
      <x:c r="W214" s="43" t="str"/>
      <x:c r="X214" s="43" t="str"/>
      <x:c r="Y214" s="43" t="str"/>
      <x:c r="Z214" s="43" t="str">
        <x:v>Practice-15F</x:v>
      </x:c>
    </x:row>
    <x:row r="215" ht="58" customHeight="1">
      <x:c r="A215" s="43" t="str">
        <x:v>PRA-15F-T03</x:v>
      </x:c>
      <x:c r="B215" s="43" t="str">
        <x:v>PRA-15F</x:v>
      </x:c>
      <x:c r="C215" s="43" t="n">
        <x:v>15</x:v>
      </x:c>
      <x:c r="D215" s="43" t="str">
        <x:v>15F</x:v>
      </x:c>
      <x:c r="E215" s="43" t="str">
        <x:v>Work Item</x:v>
      </x:c>
      <x:c r="F215" s="43" t="str">
        <x:v>Task</x:v>
      </x:c>
      <x:c r="G215" s="43" t="str">
        <x:v>Record Operations evidence and verdict</x:v>
      </x:c>
      <x:c r="H215" s="43" t="str">
        <x:v>Operations</x:v>
      </x:c>
      <x:c r="I215" s="43" t="str">
        <x:v>Backlog</x:v>
      </x:c>
      <x:c r="J215" s="43" t="str">
        <x:v>NOT_STARTED</x:v>
      </x:c>
      <x:c r="K215" s="43" t="str">
        <x:v>Medium</x:v>
      </x:c>
      <x:c r="L215" s="43" t="str">
        <x:v>Informational</x:v>
      </x:c>
      <x:c r="M215" s="43" t="str">
        <x:v>Current Contract</x:v>
      </x:c>
      <x:c r="N215" s="43" t="str">
        <x:v>Yes</x:v>
      </x:c>
      <x:c r="O215" s="43" t="str"/>
      <x:c r="P215" s="43" t="str"/>
      <x:c r="Q215" s="43" t="str">
        <x:v>Evidence linked; debt/blocker explicitly routed.</x:v>
      </x:c>
      <x:c r="R215" s="43" t="str"/>
      <x:c r="S215" s="43" t="str"/>
      <x:c r="T215" s="43" t="str">
        <x:v>PRACTICE_PHASE_10_16_EXECUTION_BLUEPRINT.md §15F</x:v>
      </x:c>
      <x:c r="U215" s="43" t="str">
        <x:v>practice</x:v>
      </x:c>
      <x:c r="V215" s="43" t="str">
        <x:v>Practice Worker/Operations</x:v>
      </x:c>
      <x:c r="W215" s="43" t="str"/>
      <x:c r="X215" s="43" t="str"/>
      <x:c r="Y215" s="43" t="str"/>
      <x:c r="Z215" s="43" t="str">
        <x:v>Practice-15F</x:v>
      </x:c>
    </x:row>
    <x:row r="216" ht="58" customHeight="1">
      <x:c r="A216" s="43" t="str">
        <x:v>PRA-15G</x:v>
      </x:c>
      <x:c r="B216" s="43" t="str">
        <x:v>PRA-PROGRAM</x:v>
      </x:c>
      <x:c r="C216" s="43" t="n">
        <x:v>15</x:v>
      </x:c>
      <x:c r="D216" s="43" t="str">
        <x:v>15G</x:v>
      </x:c>
      <x:c r="E216" s="43" t="str">
        <x:v>Epic</x:v>
      </x:c>
      <x:c r="F216" s="43" t="str">
        <x:v>Epic</x:v>
      </x:c>
      <x:c r="G216" s="43" t="str">
        <x:v>Debt Closure Review</x:v>
      </x:c>
      <x:c r="H216" s="43" t="str">
        <x:v>Debt Governance</x:v>
      </x:c>
      <x:c r="I216" s="43" t="str">
        <x:v>Backlog</x:v>
      </x:c>
      <x:c r="J216" s="43" t="str">
        <x:v>NOT_STARTED</x:v>
      </x:c>
      <x:c r="K216" s="43" t="str">
        <x:v>Medium</x:v>
      </x:c>
      <x:c r="L216" s="43" t="str">
        <x:v>Informational</x:v>
      </x:c>
      <x:c r="M216" s="43" t="str">
        <x:v>Current Contract</x:v>
      </x:c>
      <x:c r="N216" s="43" t="str">
        <x:v>Yes</x:v>
      </x:c>
      <x:c r="O216" s="43" t="str">
        <x:v>PRA-15A,PRA-15B</x:v>
      </x:c>
      <x:c r="P216" s="43" t="str">
        <x:v>Debt Closure Review</x:v>
      </x:c>
      <x:c r="Q216" s="43" t="str">
        <x:v>Every accepted debt becomes PAID, DEFERRED_WITH_OWNER_AND_TRIGGER or RELEASE_BLOCKER.</x:v>
      </x:c>
      <x:c r="R216" s="43" t="str"/>
      <x:c r="S216" s="43" t="str"/>
      <x:c r="T216" s="43" t="str">
        <x:v>PRACTICE_PHASE_10_16_EXECUTION_BLUEPRINT.md §15G</x:v>
      </x:c>
      <x:c r="U216" s="43" t="str">
        <x:v>practice</x:v>
      </x:c>
      <x:c r="V216" s="43" t="str">
        <x:v>Practice Program</x:v>
      </x:c>
      <x:c r="W216" s="43" t="str"/>
      <x:c r="X216" s="43" t="str"/>
      <x:c r="Y216" s="43" t="str"/>
      <x:c r="Z216" s="43" t="str">
        <x:v>Practice-15G</x:v>
      </x:c>
    </x:row>
    <x:row r="217" ht="58" customHeight="1">
      <x:c r="A217" s="43" t="str">
        <x:v>PRA-15G-T01</x:v>
      </x:c>
      <x:c r="B217" s="43" t="str">
        <x:v>PRA-15G</x:v>
      </x:c>
      <x:c r="C217" s="43" t="n">
        <x:v>15</x:v>
      </x:c>
      <x:c r="D217" s="43" t="str">
        <x:v>15G</x:v>
      </x:c>
      <x:c r="E217" s="43" t="str">
        <x:v>Work Item</x:v>
      </x:c>
      <x:c r="F217" s="43" t="str">
        <x:v>Task</x:v>
      </x:c>
      <x:c r="G217" s="43" t="str">
        <x:v>Plan and lock Debt Closure Review scope</x:v>
      </x:c>
      <x:c r="H217" s="43" t="str">
        <x:v>Debt Governance</x:v>
      </x:c>
      <x:c r="I217" s="43" t="str">
        <x:v>Backlog</x:v>
      </x:c>
      <x:c r="J217" s="43" t="str">
        <x:v>NOT_STARTED</x:v>
      </x:c>
      <x:c r="K217" s="43" t="str">
        <x:v>Medium</x:v>
      </x:c>
      <x:c r="L217" s="43" t="str">
        <x:v>Informational</x:v>
      </x:c>
      <x:c r="M217" s="43" t="str">
        <x:v>Current Contract</x:v>
      </x:c>
      <x:c r="N217" s="43" t="str">
        <x:v>Yes</x:v>
      </x:c>
      <x:c r="O217" s="43" t="str"/>
      <x:c r="P217" s="43" t="str"/>
      <x:c r="Q217" s="43" t="str">
        <x:v>Owner, environment, evidence and rollback defined.</x:v>
      </x:c>
      <x:c r="R217" s="43" t="str"/>
      <x:c r="S217" s="43" t="str"/>
      <x:c r="T217" s="43" t="str">
        <x:v>PRACTICE_PHASE_10_16_EXECUTION_BLUEPRINT.md §15G</x:v>
      </x:c>
      <x:c r="U217" s="43" t="str">
        <x:v>practice</x:v>
      </x:c>
      <x:c r="V217" s="43" t="str">
        <x:v>Practice Program</x:v>
      </x:c>
      <x:c r="W217" s="43" t="str"/>
      <x:c r="X217" s="43" t="str"/>
      <x:c r="Y217" s="43" t="str"/>
      <x:c r="Z217" s="43" t="str">
        <x:v>Practice-15G</x:v>
      </x:c>
    </x:row>
    <x:row r="218" ht="58" customHeight="1">
      <x:c r="A218" s="43" t="str">
        <x:v>PRA-15G-T02</x:v>
      </x:c>
      <x:c r="B218" s="43" t="str">
        <x:v>PRA-15G</x:v>
      </x:c>
      <x:c r="C218" s="43" t="n">
        <x:v>15</x:v>
      </x:c>
      <x:c r="D218" s="43" t="str">
        <x:v>15G</x:v>
      </x:c>
      <x:c r="E218" s="43" t="str">
        <x:v>Work Item</x:v>
      </x:c>
      <x:c r="F218" s="43" t="str">
        <x:v>Task</x:v>
      </x:c>
      <x:c r="G218" s="43" t="str">
        <x:v>Execute Debt Closure Review gate</x:v>
      </x:c>
      <x:c r="H218" s="43" t="str">
        <x:v>Debt Governance</x:v>
      </x:c>
      <x:c r="I218" s="43" t="str">
        <x:v>Backlog</x:v>
      </x:c>
      <x:c r="J218" s="43" t="str">
        <x:v>NOT_STARTED</x:v>
      </x:c>
      <x:c r="K218" s="43" t="str">
        <x:v>Medium</x:v>
      </x:c>
      <x:c r="L218" s="43" t="str">
        <x:v>Informational</x:v>
      </x:c>
      <x:c r="M218" s="43" t="str">
        <x:v>Current Contract</x:v>
      </x:c>
      <x:c r="N218" s="43" t="str">
        <x:v>Yes</x:v>
      </x:c>
      <x:c r="O218" s="43" t="str"/>
      <x:c r="P218" s="43" t="str"/>
      <x:c r="Q218" s="43" t="str">
        <x:v>Every accepted debt becomes PAID, DEFERRED_WITH_OWNER_AND_TRIGGER or RELEASE_BLOCKER.</x:v>
      </x:c>
      <x:c r="R218" s="43" t="str"/>
      <x:c r="S218" s="43" t="str"/>
      <x:c r="T218" s="43" t="str">
        <x:v>PRACTICE_PHASE_10_16_EXECUTION_BLUEPRINT.md §15G</x:v>
      </x:c>
      <x:c r="U218" s="43" t="str">
        <x:v>practice</x:v>
      </x:c>
      <x:c r="V218" s="43" t="str">
        <x:v>Practice Program</x:v>
      </x:c>
      <x:c r="W218" s="43" t="str"/>
      <x:c r="X218" s="43" t="str"/>
      <x:c r="Y218" s="43" t="str"/>
      <x:c r="Z218" s="43" t="str">
        <x:v>Practice-15G</x:v>
      </x:c>
    </x:row>
    <x:row r="219" ht="58" customHeight="1">
      <x:c r="A219" s="43" t="str">
        <x:v>PRA-15G-T03</x:v>
      </x:c>
      <x:c r="B219" s="43" t="str">
        <x:v>PRA-15G</x:v>
      </x:c>
      <x:c r="C219" s="43" t="n">
        <x:v>15</x:v>
      </x:c>
      <x:c r="D219" s="43" t="str">
        <x:v>15G</x:v>
      </x:c>
      <x:c r="E219" s="43" t="str">
        <x:v>Work Item</x:v>
      </x:c>
      <x:c r="F219" s="43" t="str">
        <x:v>Task</x:v>
      </x:c>
      <x:c r="G219" s="43" t="str">
        <x:v>Record Debt Closure Review evidence and verdict</x:v>
      </x:c>
      <x:c r="H219" s="43" t="str">
        <x:v>Debt Governance</x:v>
      </x:c>
      <x:c r="I219" s="43" t="str">
        <x:v>Backlog</x:v>
      </x:c>
      <x:c r="J219" s="43" t="str">
        <x:v>NOT_STARTED</x:v>
      </x:c>
      <x:c r="K219" s="43" t="str">
        <x:v>Medium</x:v>
      </x:c>
      <x:c r="L219" s="43" t="str">
        <x:v>Informational</x:v>
      </x:c>
      <x:c r="M219" s="43" t="str">
        <x:v>Current Contract</x:v>
      </x:c>
      <x:c r="N219" s="43" t="str">
        <x:v>Yes</x:v>
      </x:c>
      <x:c r="O219" s="43" t="str"/>
      <x:c r="P219" s="43" t="str"/>
      <x:c r="Q219" s="43" t="str">
        <x:v>Evidence linked; debt/blocker explicitly routed.</x:v>
      </x:c>
      <x:c r="R219" s="43" t="str"/>
      <x:c r="S219" s="43" t="str"/>
      <x:c r="T219" s="43" t="str">
        <x:v>PRACTICE_PHASE_10_16_EXECUTION_BLUEPRINT.md §15G</x:v>
      </x:c>
      <x:c r="U219" s="43" t="str">
        <x:v>practice</x:v>
      </x:c>
      <x:c r="V219" s="43" t="str">
        <x:v>Practice Program</x:v>
      </x:c>
      <x:c r="W219" s="43" t="str"/>
      <x:c r="X219" s="43" t="str"/>
      <x:c r="Y219" s="43" t="str"/>
      <x:c r="Z219" s="43" t="str">
        <x:v>Practice-15G</x:v>
      </x:c>
    </x:row>
    <x:row r="220" ht="58" customHeight="1">
      <x:c r="A220" s="43" t="str">
        <x:v>PRA-15H</x:v>
      </x:c>
      <x:c r="B220" s="43" t="str">
        <x:v>PRA-PROGRAM</x:v>
      </x:c>
      <x:c r="C220" s="43" t="n">
        <x:v>15</x:v>
      </x:c>
      <x:c r="D220" s="43" t="str">
        <x:v>15H</x:v>
      </x:c>
      <x:c r="E220" s="43" t="str">
        <x:v>Epic</x:v>
      </x:c>
      <x:c r="F220" s="43" t="str">
        <x:v>Epic</x:v>
      </x:c>
      <x:c r="G220" s="43" t="str">
        <x:v>Capability-Specific Release Verdict</x:v>
      </x:c>
      <x:c r="H220" s="43" t="str">
        <x:v>Release</x:v>
      </x:c>
      <x:c r="I220" s="43" t="str">
        <x:v>Backlog</x:v>
      </x:c>
      <x:c r="J220" s="43" t="str">
        <x:v>NOT_STARTED</x:v>
      </x:c>
      <x:c r="K220" s="43" t="str">
        <x:v>Medium</x:v>
      </x:c>
      <x:c r="L220" s="43" t="str">
        <x:v>Informational</x:v>
      </x:c>
      <x:c r="M220" s="43" t="str">
        <x:v>Current Contract</x:v>
      </x:c>
      <x:c r="N220" s="43" t="str">
        <x:v>Yes</x:v>
      </x:c>
      <x:c r="O220" s="43" t="str">
        <x:v>PRA-15A,PRA-15B</x:v>
      </x:c>
      <x:c r="P220" s="43" t="str">
        <x:v>Capability-Specific Release Verdict</x:v>
      </x:c>
      <x:c r="Q220" s="43" t="str">
        <x:v>Separate GO/NO-GO for objective, Writing AI, Speaking text/media/live AI and prompt administration.</x:v>
      </x:c>
      <x:c r="R220" s="43" t="str"/>
      <x:c r="S220" s="43" t="str"/>
      <x:c r="T220" s="43" t="str">
        <x:v>PRACTICE_PHASE_10_16_EXECUTION_BLUEPRINT.md §15H</x:v>
      </x:c>
      <x:c r="U220" s="43" t="str">
        <x:v>practice</x:v>
      </x:c>
      <x:c r="V220" s="43" t="str">
        <x:v>Practice Quality Gate</x:v>
      </x:c>
      <x:c r="W220" s="43" t="str"/>
      <x:c r="X220" s="43" t="str"/>
      <x:c r="Y220" s="43" t="str"/>
      <x:c r="Z220" s="43" t="str">
        <x:v>Practice-15H</x:v>
      </x:c>
    </x:row>
    <x:row r="221" ht="58" customHeight="1">
      <x:c r="A221" s="43" t="str">
        <x:v>PRA-15H-T01</x:v>
      </x:c>
      <x:c r="B221" s="43" t="str">
        <x:v>PRA-15H</x:v>
      </x:c>
      <x:c r="C221" s="43" t="n">
        <x:v>15</x:v>
      </x:c>
      <x:c r="D221" s="43" t="str">
        <x:v>15H</x:v>
      </x:c>
      <x:c r="E221" s="43" t="str">
        <x:v>Work Item</x:v>
      </x:c>
      <x:c r="F221" s="43" t="str">
        <x:v>Task</x:v>
      </x:c>
      <x:c r="G221" s="43" t="str">
        <x:v>Plan and lock Capability-Specific Release Verdict scope</x:v>
      </x:c>
      <x:c r="H221" s="43" t="str">
        <x:v>Release</x:v>
      </x:c>
      <x:c r="I221" s="43" t="str">
        <x:v>Backlog</x:v>
      </x:c>
      <x:c r="J221" s="43" t="str">
        <x:v>NOT_STARTED</x:v>
      </x:c>
      <x:c r="K221" s="43" t="str">
        <x:v>Medium</x:v>
      </x:c>
      <x:c r="L221" s="43" t="str">
        <x:v>Informational</x:v>
      </x:c>
      <x:c r="M221" s="43" t="str">
        <x:v>Current Contract</x:v>
      </x:c>
      <x:c r="N221" s="43" t="str">
        <x:v>Yes</x:v>
      </x:c>
      <x:c r="O221" s="43" t="str"/>
      <x:c r="P221" s="43" t="str"/>
      <x:c r="Q221" s="43" t="str">
        <x:v>Owner, environment, evidence and rollback defined.</x:v>
      </x:c>
      <x:c r="R221" s="43" t="str"/>
      <x:c r="S221" s="43" t="str"/>
      <x:c r="T221" s="43" t="str">
        <x:v>PRACTICE_PHASE_10_16_EXECUTION_BLUEPRINT.md §15H</x:v>
      </x:c>
      <x:c r="U221" s="43" t="str">
        <x:v>practice</x:v>
      </x:c>
      <x:c r="V221" s="43" t="str">
        <x:v>Practice Quality Gate</x:v>
      </x:c>
      <x:c r="W221" s="43" t="str"/>
      <x:c r="X221" s="43" t="str"/>
      <x:c r="Y221" s="43" t="str"/>
      <x:c r="Z221" s="43" t="str">
        <x:v>Practice-15H</x:v>
      </x:c>
    </x:row>
    <x:row r="222" ht="58" customHeight="1">
      <x:c r="A222" s="43" t="str">
        <x:v>PRA-15H-T02</x:v>
      </x:c>
      <x:c r="B222" s="43" t="str">
        <x:v>PRA-15H</x:v>
      </x:c>
      <x:c r="C222" s="43" t="n">
        <x:v>15</x:v>
      </x:c>
      <x:c r="D222" s="43" t="str">
        <x:v>15H</x:v>
      </x:c>
      <x:c r="E222" s="43" t="str">
        <x:v>Work Item</x:v>
      </x:c>
      <x:c r="F222" s="43" t="str">
        <x:v>Task</x:v>
      </x:c>
      <x:c r="G222" s="43" t="str">
        <x:v>Execute Capability-Specific Release Verdict gate</x:v>
      </x:c>
      <x:c r="H222" s="43" t="str">
        <x:v>Release</x:v>
      </x:c>
      <x:c r="I222" s="43" t="str">
        <x:v>Backlog</x:v>
      </x:c>
      <x:c r="J222" s="43" t="str">
        <x:v>NOT_STARTED</x:v>
      </x:c>
      <x:c r="K222" s="43" t="str">
        <x:v>Medium</x:v>
      </x:c>
      <x:c r="L222" s="43" t="str">
        <x:v>Informational</x:v>
      </x:c>
      <x:c r="M222" s="43" t="str">
        <x:v>Current Contract</x:v>
      </x:c>
      <x:c r="N222" s="43" t="str">
        <x:v>Yes</x:v>
      </x:c>
      <x:c r="O222" s="43" t="str"/>
      <x:c r="P222" s="43" t="str"/>
      <x:c r="Q222" s="43" t="str">
        <x:v>Separate GO/NO-GO for objective, Writing AI, Speaking text/media/live AI and prompt administration.</x:v>
      </x:c>
      <x:c r="R222" s="43" t="str"/>
      <x:c r="S222" s="43" t="str"/>
      <x:c r="T222" s="43" t="str">
        <x:v>PRACTICE_PHASE_10_16_EXECUTION_BLUEPRINT.md §15H</x:v>
      </x:c>
      <x:c r="U222" s="43" t="str">
        <x:v>practice</x:v>
      </x:c>
      <x:c r="V222" s="43" t="str">
        <x:v>Practice Quality Gate</x:v>
      </x:c>
      <x:c r="W222" s="43" t="str"/>
      <x:c r="X222" s="43" t="str"/>
      <x:c r="Y222" s="43" t="str"/>
      <x:c r="Z222" s="43" t="str">
        <x:v>Practice-15H</x:v>
      </x:c>
    </x:row>
    <x:row r="223" ht="58" customHeight="1">
      <x:c r="A223" s="43" t="str">
        <x:v>PRA-15H-T03</x:v>
      </x:c>
      <x:c r="B223" s="43" t="str">
        <x:v>PRA-15H</x:v>
      </x:c>
      <x:c r="C223" s="43" t="n">
        <x:v>15</x:v>
      </x:c>
      <x:c r="D223" s="43" t="str">
        <x:v>15H</x:v>
      </x:c>
      <x:c r="E223" s="43" t="str">
        <x:v>Work Item</x:v>
      </x:c>
      <x:c r="F223" s="43" t="str">
        <x:v>Task</x:v>
      </x:c>
      <x:c r="G223" s="43" t="str">
        <x:v>Record Capability-Specific Release Verdict evidence and verdict</x:v>
      </x:c>
      <x:c r="H223" s="43" t="str">
        <x:v>Release</x:v>
      </x:c>
      <x:c r="I223" s="43" t="str">
        <x:v>Backlog</x:v>
      </x:c>
      <x:c r="J223" s="43" t="str">
        <x:v>NOT_STARTED</x:v>
      </x:c>
      <x:c r="K223" s="43" t="str">
        <x:v>Medium</x:v>
      </x:c>
      <x:c r="L223" s="43" t="str">
        <x:v>Informational</x:v>
      </x:c>
      <x:c r="M223" s="43" t="str">
        <x:v>Current Contract</x:v>
      </x:c>
      <x:c r="N223" s="43" t="str">
        <x:v>Yes</x:v>
      </x:c>
      <x:c r="O223" s="43" t="str"/>
      <x:c r="P223" s="43" t="str"/>
      <x:c r="Q223" s="43" t="str">
        <x:v>Evidence linked; debt/blocker explicitly routed.</x:v>
      </x:c>
      <x:c r="R223" s="43" t="str"/>
      <x:c r="S223" s="43" t="str"/>
      <x:c r="T223" s="43" t="str">
        <x:v>PRACTICE_PHASE_10_16_EXECUTION_BLUEPRINT.md §15H</x:v>
      </x:c>
      <x:c r="U223" s="43" t="str">
        <x:v>practice</x:v>
      </x:c>
      <x:c r="V223" s="43" t="str">
        <x:v>Practice Quality Gate</x:v>
      </x:c>
      <x:c r="W223" s="43" t="str"/>
      <x:c r="X223" s="43" t="str"/>
      <x:c r="Y223" s="43" t="str"/>
      <x:c r="Z223" s="43" t="str">
        <x:v>Practice-15H</x:v>
      </x:c>
    </x:row>
    <x:row r="224" ht="58" customHeight="1">
      <x:c r="A224" s="43" t="str">
        <x:v>PRA-16</x:v>
      </x:c>
      <x:c r="B224" s="43" t="str">
        <x:v>PRA-PROGRAM</x:v>
      </x:c>
      <x:c r="C224" s="43" t="n">
        <x:v>16</x:v>
      </x:c>
      <x:c r="D224" s="43" t="str">
        <x:v>16</x:v>
      </x:c>
      <x:c r="E224" s="43" t="str">
        <x:v>Epic</x:v>
      </x:c>
      <x:c r="F224" s="43" t="str">
        <x:v>Epic</x:v>
      </x:c>
      <x:c r="G224" s="43" t="str">
        <x:v>Optional Grounded Practice Chatbot</x:v>
      </x:c>
      <x:c r="H224" s="43" t="str">
        <x:v>Optional AI</x:v>
      </x:c>
      <x:c r="I224" s="43" t="str">
        <x:v>Icebox</x:v>
      </x:c>
      <x:c r="J224" s="43" t="str">
        <x:v>BLOCKED_BY_PHASE_15_AND_PRODUCT_GO</x:v>
      </x:c>
      <x:c r="K224" s="43" t="str">
        <x:v>Medium</x:v>
      </x:c>
      <x:c r="L224" s="43" t="str">
        <x:v>Informational</x:v>
      </x:c>
      <x:c r="M224" s="43" t="str">
        <x:v>Current Contract</x:v>
      </x:c>
      <x:c r="N224" s="43" t="str">
        <x:v>Needs Review</x:v>
      </x:c>
      <x:c r="O224" s="43" t="str">
        <x:v>PRA-15H</x:v>
      </x:c>
      <x:c r="P224" s="43" t="str">
        <x:v>Optional follow-up assistant grounded in immutable authorized content.</x:v>
      </x:c>
      <x:c r="Q224" s="43" t="str">
        <x:v>Explicit product GO; ACL, no answer leakage, privacy, cost and groundedness gates.</x:v>
      </x:c>
      <x:c r="R224" s="43" t="str"/>
      <x:c r="S224" s="43" t="str"/>
      <x:c r="T224" s="43" t="str">
        <x:v>PRACTICE_PHASE_10_16_EXECUTION_BLUEPRINT.md §Phase 16</x:v>
      </x:c>
      <x:c r="U224" s="43" t="str">
        <x:v>practice</x:v>
      </x:c>
      <x:c r="V224" s="43" t="str">
        <x:v>Practice Chatbot</x:v>
      </x:c>
      <x:c r="W224" s="43" t="str"/>
      <x:c r="X224" s="43" t="str"/>
      <x:c r="Y224" s="43" t="str"/>
      <x:c r="Z224" s="43" t="str">
        <x:v>Post-Release</x:v>
      </x:c>
    </x:row>
    <x:row r="225" ht="58" customHeight="1">
      <x:c r="A225" s="43" t="str">
        <x:v>PRA-16-A</x:v>
      </x:c>
      <x:c r="B225" s="43" t="str">
        <x:v>PRA-16</x:v>
      </x:c>
      <x:c r="C225" s="43" t="n">
        <x:v>16</x:v>
      </x:c>
      <x:c r="D225" s="43" t="str">
        <x:v>16</x:v>
      </x:c>
      <x:c r="E225" s="43" t="str">
        <x:v>Work Item</x:v>
      </x:c>
      <x:c r="F225" s="43" t="str">
        <x:v>Task</x:v>
      </x:c>
      <x:c r="G225" s="43" t="str">
        <x:v>Product, quota, ROI and cost decision gate</x:v>
      </x:c>
      <x:c r="H225" s="43" t="str">
        <x:v>Optional AI</x:v>
      </x:c>
      <x:c r="I225" s="43" t="str">
        <x:v>Icebox</x:v>
      </x:c>
      <x:c r="J225" s="43" t="str">
        <x:v>BLOCKED_BY_PHASE_15_AND_PRODUCT_GO</x:v>
      </x:c>
      <x:c r="K225" s="43" t="str">
        <x:v>Medium</x:v>
      </x:c>
      <x:c r="L225" s="43" t="str">
        <x:v>Informational</x:v>
      </x:c>
      <x:c r="M225" s="43" t="str">
        <x:v>Current Contract</x:v>
      </x:c>
      <x:c r="N225" s="43" t="str">
        <x:v>Needs Review</x:v>
      </x:c>
      <x:c r="O225" s="43" t="str"/>
      <x:c r="P225" s="43" t="str"/>
      <x:c r="Q225" s="43" t="str"/>
      <x:c r="R225" s="43" t="str"/>
      <x:c r="S225" s="43" t="str"/>
      <x:c r="T225" s="43" t="str">
        <x:v>PRACTICE_PHASE_10_16_EXECUTION_BLUEPRINT.md §Phase 16</x:v>
      </x:c>
      <x:c r="U225" s="43" t="str">
        <x:v>practice</x:v>
      </x:c>
      <x:c r="V225" s="43" t="str">
        <x:v>Practice Chatbot</x:v>
      </x:c>
      <x:c r="W225" s="43" t="str"/>
      <x:c r="X225" s="43" t="str"/>
      <x:c r="Y225" s="43" t="str"/>
      <x:c r="Z225" s="43" t="str">
        <x:v>Post-Release</x:v>
      </x:c>
    </x:row>
    <x:row r="226" ht="58" customHeight="1">
      <x:c r="A226" s="43" t="str">
        <x:v>PRA-16-B</x:v>
      </x:c>
      <x:c r="B226" s="43" t="str">
        <x:v>PRA-16</x:v>
      </x:c>
      <x:c r="C226" s="43" t="n">
        <x:v>16</x:v>
      </x:c>
      <x:c r="D226" s="43" t="str">
        <x:v>16</x:v>
      </x:c>
      <x:c r="E226" s="43" t="str">
        <x:v>Work Item</x:v>
      </x:c>
      <x:c r="F226" s="43" t="str">
        <x:v>Task</x:v>
      </x:c>
      <x:c r="G226" s="43" t="str">
        <x:v>Grounded retrieval and ACL</x:v>
      </x:c>
      <x:c r="H226" s="43" t="str">
        <x:v>Optional AI</x:v>
      </x:c>
      <x:c r="I226" s="43" t="str">
        <x:v>Icebox</x:v>
      </x:c>
      <x:c r="J226" s="43" t="str">
        <x:v>BLOCKED_BY_PHASE_15_AND_PRODUCT_GO</x:v>
      </x:c>
      <x:c r="K226" s="43" t="str">
        <x:v>Medium</x:v>
      </x:c>
      <x:c r="L226" s="43" t="str">
        <x:v>Informational</x:v>
      </x:c>
      <x:c r="M226" s="43" t="str">
        <x:v>Current Contract</x:v>
      </x:c>
      <x:c r="N226" s="43" t="str">
        <x:v>Needs Review</x:v>
      </x:c>
      <x:c r="O226" s="43" t="str"/>
      <x:c r="P226" s="43" t="str"/>
      <x:c r="Q226" s="43" t="str"/>
      <x:c r="R226" s="43" t="str"/>
      <x:c r="S226" s="43" t="str"/>
      <x:c r="T226" s="43" t="str">
        <x:v>PRACTICE_PHASE_10_16_EXECUTION_BLUEPRINT.md §Phase 16</x:v>
      </x:c>
      <x:c r="U226" s="43" t="str">
        <x:v>practice</x:v>
      </x:c>
      <x:c r="V226" s="43" t="str">
        <x:v>Practice Chatbot</x:v>
      </x:c>
      <x:c r="W226" s="43" t="str"/>
      <x:c r="X226" s="43" t="str"/>
      <x:c r="Y226" s="43" t="str"/>
      <x:c r="Z226" s="43" t="str">
        <x:v>Post-Release</x:v>
      </x:c>
    </x:row>
    <x:row r="227" ht="58" customHeight="1">
      <x:c r="A227" s="43" t="str">
        <x:v>PRA-16-C</x:v>
      </x:c>
      <x:c r="B227" s="43" t="str">
        <x:v>PRA-16</x:v>
      </x:c>
      <x:c r="C227" s="43" t="n">
        <x:v>16</x:v>
      </x:c>
      <x:c r="D227" s="43" t="str">
        <x:v>16</x:v>
      </x:c>
      <x:c r="E227" s="43" t="str">
        <x:v>Work Item</x:v>
      </x:c>
      <x:c r="F227" s="43" t="str">
        <x:v>Task</x:v>
      </x:c>
      <x:c r="G227" s="43" t="str">
        <x:v>Vietnamese/Korean chat contract</x:v>
      </x:c>
      <x:c r="H227" s="43" t="str">
        <x:v>Optional AI</x:v>
      </x:c>
      <x:c r="I227" s="43" t="str">
        <x:v>Icebox</x:v>
      </x:c>
      <x:c r="J227" s="43" t="str">
        <x:v>BLOCKED_BY_PHASE_15_AND_PRODUCT_GO</x:v>
      </x:c>
      <x:c r="K227" s="43" t="str">
        <x:v>Medium</x:v>
      </x:c>
      <x:c r="L227" s="43" t="str">
        <x:v>Informational</x:v>
      </x:c>
      <x:c r="M227" s="43" t="str">
        <x:v>Current Contract</x:v>
      </x:c>
      <x:c r="N227" s="43" t="str">
        <x:v>Needs Review</x:v>
      </x:c>
      <x:c r="O227" s="43" t="str"/>
      <x:c r="P227" s="43" t="str"/>
      <x:c r="Q227" s="43" t="str"/>
      <x:c r="R227" s="43" t="str"/>
      <x:c r="S227" s="43" t="str"/>
      <x:c r="T227" s="43" t="str">
        <x:v>PRACTICE_PHASE_10_16_EXECUTION_BLUEPRINT.md §Phase 16</x:v>
      </x:c>
      <x:c r="U227" s="43" t="str">
        <x:v>practice</x:v>
      </x:c>
      <x:c r="V227" s="43" t="str">
        <x:v>Practice Chatbot</x:v>
      </x:c>
      <x:c r="W227" s="43" t="str"/>
      <x:c r="X227" s="43" t="str"/>
      <x:c r="Y227" s="43" t="str"/>
      <x:c r="Z227" s="43" t="str">
        <x:v>Post-Release</x:v>
      </x:c>
    </x:row>
    <x:row r="228" ht="58" customHeight="1">
      <x:c r="A228" s="43" t="str">
        <x:v>PRA-16-D</x:v>
      </x:c>
      <x:c r="B228" s="43" t="str">
        <x:v>PRA-16</x:v>
      </x:c>
      <x:c r="C228" s="43" t="n">
        <x:v>16</x:v>
      </x:c>
      <x:c r="D228" s="43" t="str">
        <x:v>16</x:v>
      </x:c>
      <x:c r="E228" s="43" t="str">
        <x:v>Work Item</x:v>
      </x:c>
      <x:c r="F228" s="43" t="str">
        <x:v>Task</x:v>
      </x:c>
      <x:c r="G228" s="43" t="str">
        <x:v>Prompt injection, pedagogy and no-score-change safeguards</x:v>
      </x:c>
      <x:c r="H228" s="43" t="str">
        <x:v>Optional AI</x:v>
      </x:c>
      <x:c r="I228" s="43" t="str">
        <x:v>Icebox</x:v>
      </x:c>
      <x:c r="J228" s="43" t="str">
        <x:v>BLOCKED_BY_PHASE_15_AND_PRODUCT_GO</x:v>
      </x:c>
      <x:c r="K228" s="43" t="str">
        <x:v>Medium</x:v>
      </x:c>
      <x:c r="L228" s="43" t="str">
        <x:v>Informational</x:v>
      </x:c>
      <x:c r="M228" s="43" t="str">
        <x:v>Current Contract</x:v>
      </x:c>
      <x:c r="N228" s="43" t="str">
        <x:v>Needs Review</x:v>
      </x:c>
      <x:c r="O228" s="43" t="str"/>
      <x:c r="P228" s="43" t="str"/>
      <x:c r="Q228" s="43" t="str"/>
      <x:c r="R228" s="43" t="str"/>
      <x:c r="S228" s="43" t="str"/>
      <x:c r="T228" s="43" t="str">
        <x:v>PRACTICE_PHASE_10_16_EXECUTION_BLUEPRINT.md §Phase 16</x:v>
      </x:c>
      <x:c r="U228" s="43" t="str">
        <x:v>practice</x:v>
      </x:c>
      <x:c r="V228" s="43" t="str">
        <x:v>Practice Chatbot</x:v>
      </x:c>
      <x:c r="W228" s="43" t="str"/>
      <x:c r="X228" s="43" t="str"/>
      <x:c r="Y228" s="43" t="str"/>
      <x:c r="Z228" s="43" t="str">
        <x:v>Post-Release</x:v>
      </x:c>
    </x:row>
    <x:row r="229" ht="58" customHeight="1">
      <x:c r="A229" s="43" t="str">
        <x:v>PRA-16-E</x:v>
      </x:c>
      <x:c r="B229" s="43" t="str">
        <x:v>PRA-16</x:v>
      </x:c>
      <x:c r="C229" s="43" t="n">
        <x:v>16</x:v>
      </x:c>
      <x:c r="D229" s="43" t="str">
        <x:v>16</x:v>
      </x:c>
      <x:c r="E229" s="43" t="str">
        <x:v>Work Item</x:v>
      </x:c>
      <x:c r="F229" s="43" t="str">
        <x:v>Task</x:v>
      </x:c>
      <x:c r="G229" s="43" t="str">
        <x:v>Groundedness, privacy, leakage, cost and latency evaluation</x:v>
      </x:c>
      <x:c r="H229" s="43" t="str">
        <x:v>Optional AI</x:v>
      </x:c>
      <x:c r="I229" s="43" t="str">
        <x:v>Icebox</x:v>
      </x:c>
      <x:c r="J229" s="43" t="str">
        <x:v>BLOCKED_BY_PHASE_15_AND_PRODUCT_GO</x:v>
      </x:c>
      <x:c r="K229" s="43" t="str">
        <x:v>Medium</x:v>
      </x:c>
      <x:c r="L229" s="43" t="str">
        <x:v>Informational</x:v>
      </x:c>
      <x:c r="M229" s="43" t="str">
        <x:v>Current Contract</x:v>
      </x:c>
      <x:c r="N229" s="43" t="str">
        <x:v>Needs Review</x:v>
      </x:c>
      <x:c r="O229" s="43" t="str"/>
      <x:c r="P229" s="43" t="str"/>
      <x:c r="Q229" s="43" t="str"/>
      <x:c r="R229" s="43" t="str"/>
      <x:c r="S229" s="43" t="str"/>
      <x:c r="T229" s="43" t="str">
        <x:v>PRACTICE_PHASE_10_16_EXECUTION_BLUEPRINT.md §Phase 16</x:v>
      </x:c>
      <x:c r="U229" s="43" t="str">
        <x:v>practice</x:v>
      </x:c>
      <x:c r="V229" s="43" t="str">
        <x:v>Practice Chatbot</x:v>
      </x:c>
      <x:c r="W229" s="43" t="str"/>
      <x:c r="X229" s="43" t="str"/>
      <x:c r="Y229" s="43" t="str"/>
      <x:c r="Z229" s="43" t="str">
        <x:v>Post-Release</x:v>
      </x:c>
    </x:row>
    <x:row r="230" ht="58" customHeight="1">
      <x:c r="A230" s="43" t="str">
        <x:v>PRA-16-F</x:v>
      </x:c>
      <x:c r="B230" s="43" t="str">
        <x:v>PRA-16</x:v>
      </x:c>
      <x:c r="C230" s="43" t="n">
        <x:v>16</x:v>
      </x:c>
      <x:c r="D230" s="43" t="str">
        <x:v>16</x:v>
      </x:c>
      <x:c r="E230" s="43" t="str">
        <x:v>Work Item</x:v>
      </x:c>
      <x:c r="F230" s="43" t="str">
        <x:v>Task</x:v>
      </x:c>
      <x:c r="G230" s="43" t="str">
        <x:v>Contextual UI, accessibility, feature flag and cohort rollout</x:v>
      </x:c>
      <x:c r="H230" s="43" t="str">
        <x:v>Optional AI</x:v>
      </x:c>
      <x:c r="I230" s="43" t="str">
        <x:v>Icebox</x:v>
      </x:c>
      <x:c r="J230" s="43" t="str">
        <x:v>BLOCKED_BY_PHASE_15_AND_PRODUCT_GO</x:v>
      </x:c>
      <x:c r="K230" s="43" t="str">
        <x:v>Medium</x:v>
      </x:c>
      <x:c r="L230" s="43" t="str">
        <x:v>Informational</x:v>
      </x:c>
      <x:c r="M230" s="43" t="str">
        <x:v>Current Contract</x:v>
      </x:c>
      <x:c r="N230" s="43" t="str">
        <x:v>Needs Review</x:v>
      </x:c>
      <x:c r="O230" s="43" t="str"/>
      <x:c r="P230" s="43" t="str"/>
      <x:c r="Q230" s="43" t="str"/>
      <x:c r="R230" s="43" t="str"/>
      <x:c r="S230" s="43" t="str"/>
      <x:c r="T230" s="43" t="str">
        <x:v>PRACTICE_PHASE_10_16_EXECUTION_BLUEPRINT.md §Phase 16</x:v>
      </x:c>
      <x:c r="U230" s="43" t="str">
        <x:v>practice</x:v>
      </x:c>
      <x:c r="V230" s="43" t="str">
        <x:v>Practice Chatbot</x:v>
      </x:c>
      <x:c r="W230" s="43" t="str"/>
      <x:c r="X230" s="43" t="str"/>
      <x:c r="Y230" s="43" t="str"/>
      <x:c r="Z230" s="43" t="str">
        <x:v>Post-Release</x:v>
      </x:c>
    </x:row>
  </x:sheetData>
  <x:mergeCells>
    <x:mergeCell ref="A1:Z1"/>
    <x:mergeCell ref="A2:Z2"/>
  </x:mergeCells>
  <x:conditionalFormatting sqref="I5:I230">
    <x:cfRule type="containsText" dxfId="0" priority="1" operator="containsText" text="Done"/>
    <x:cfRule type="containsText" dxfId="1" priority="2" operator="containsText" text="Ready for Validation"/>
    <x:cfRule type="containsText" dxfId="2" priority="3" operator="containsText" text="Needs Evidence"/>
    <x:cfRule type="containsText" dxfId="3" priority="4" operator="containsText" text="Blocked"/>
    <x:cfRule type="containsText" dxfId="4" priority="5" operator="containsText" text="Icebox"/>
    <x:cfRule type="containsText" dxfId="5" priority="6" operator="containsText" text="Backlog"/>
  </x:conditionalFormatting>
  <x:conditionalFormatting sqref="K5:K230">
    <x:cfRule type="containsText" dxfId="6" priority="7" operator="containsText" text="Highest"/>
    <x:cfRule type="containsText" dxfId="7" priority="8" operator="containsText" text="High"/>
  </x:conditionalFormatting>
  <x:dataValidations count="6">
    <x:dataValidation type="list" sqref="F5:F230">
      <x:formula1>"Initiative,Epic,Story,Task,Bug,Sub-task,Spike"</x:formula1>
    </x:dataValidation>
    <x:dataValidation type="list" sqref="I5:I230">
      <x:formula1>"Done,Done with Debt,In Progress,Ready for Validation,Backlog,Needs Evidence,Blocked,Icebox"</x:formula1>
    </x:dataValidation>
    <x:dataValidation type="list" sqref="K5:K230">
      <x:formula1>"Highest,High,Medium,Low,Lowest"</x:formula1>
    </x:dataValidation>
    <x:dataValidation type="list" sqref="L5:L230">
      <x:formula1>"Critical,High,Medium,Low,Informational"</x:formula1>
    </x:dataValidation>
    <x:dataValidation type="list" sqref="M5:M230">
      <x:formula1>"Confirmed,High,Current Contract,Documented,Documented Claim,Documented Risk,Current Inventory,Needs Runtime Evidence,Unverified"</x:formula1>
    </x:dataValidation>
    <x:dataValidation type="list" sqref="N5:N230">
      <x:formula1>"Yes,No,Optional-History,Needs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4f54655b5041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64" hidden="0" customWidth="1"/>
    <x:col min="4" max="4" width="38" hidden="0" customWidth="1"/>
    <x:col min="5" max="5" width="20" hidden="0" customWidth="1"/>
    <x:col min="6" max="6" width="24" hidden="0" customWidth="1"/>
    <x:col min="7" max="7" width="36" hidden="0" customWidth="1"/>
  </x:cols>
  <x:sheetData>
    <x:row r="1" ht="30" customHeight="1">
      <x:c r="A1" s="3" t="str">
        <x:v>Phase 13D Acceptance Gate</x:v>
      </x:c>
      <x:c r="B1" s="3"/>
      <x:c r="C1" s="3"/>
      <x:c r="D1" s="3"/>
      <x:c r="E1" s="3"/>
      <x:c r="F1" s="3"/>
      <x:c r="G1" s="3"/>
    </x:row>
    <x:row r="2" ht="34" customHeight="1">
      <x:c r="A2" s="7" t="str">
        <x:v>25 acceptance scenarios từ Section 6.9.9. Status ban đầu phản ánh chưa chạy validation trong lượt Markdown-only.</x:v>
      </x:c>
      <x:c r="B2" s="7"/>
      <x:c r="C2" s="7"/>
      <x:c r="D2" s="7"/>
      <x:c r="E2" s="7"/>
      <x:c r="F2" s="7"/>
      <x:c r="G2" s="7"/>
    </x:row>
    <x:row r="4" ht="34" customHeight="1">
      <x:c r="A4" s="34" t="str">
        <x:v>Scenario ID</x:v>
      </x:c>
      <x:c r="B4" s="35" t="str">
        <x:v>Parent Task</x:v>
      </x:c>
      <x:c r="C4" s="35" t="str">
        <x:v>Acceptance Scenario</x:v>
      </x:c>
      <x:c r="D4" s="35" t="str">
        <x:v>Expected Evidence</x:v>
      </x:c>
      <x:c r="E4" s="35" t="str">
        <x:v>Validation Status</x:v>
      </x:c>
      <x:c r="F4" s="35" t="str">
        <x:v>Bug / Finding Link</x:v>
      </x:c>
      <x:c r="G4" s="36" t="str">
        <x:v>Notes</x:v>
      </x:c>
    </x:row>
    <x:row r="5" ht="54" customHeight="1">
      <x:c r="A5" s="42" t="str">
        <x:v>13D-AC-01</x:v>
      </x:c>
      <x:c r="B5" s="42" t="str">
        <x:v>PRA-13D-05</x:v>
      </x:c>
      <x:c r="C5" s="42" t="str">
        <x:v>First publish queues each eligible R/L question once</x:v>
      </x:c>
      <x:c r="D5" s="42" t="str">
        <x:v>Artifact/binding/task integration test</x:v>
      </x:c>
      <x:c r="E5" s="42" t="str">
        <x:v>Not Run</x:v>
      </x:c>
      <x:c r="F5" s="42" t="str"/>
      <x:c r="G5" s="42" t="str"/>
    </x:row>
    <x:row r="6" ht="54" customHeight="1">
      <x:c r="A6" s="43" t="str">
        <x:v>13D-AC-02</x:v>
      </x:c>
      <x:c r="B6" s="43" t="str">
        <x:v>PRA-13D-03</x:v>
      </x:c>
      <x:c r="C6" s="43" t="str">
        <x:v>Equivalent republish reuses every artifact and makes zero provider calls</x:v>
      </x:c>
      <x:c r="D6" s="43" t="str">
        <x:v>Fingerprint/provider-spy integration test</x:v>
      </x:c>
      <x:c r="E6" s="43" t="str">
        <x:v>Not Run</x:v>
      </x:c>
      <x:c r="F6" s="43" t="str">
        <x:v>P13D-BUG-02</x:v>
      </x:c>
      <x:c r="G6" s="43" t="str"/>
    </x:row>
    <x:row r="7" ht="54" customHeight="1">
      <x:c r="A7" s="43" t="str">
        <x:v>13D-AC-03</x:v>
      </x:c>
      <x:c r="B7" s="43" t="str">
        <x:v>PRA-13D-03</x:v>
      </x:c>
      <x:c r="C7" s="43" t="str">
        <x:v>Editing only q1 queues only q1; q2-q4 reuse</x:v>
      </x:c>
      <x:c r="D7" s="43" t="str">
        <x:v>Selective invalidation test</x:v>
      </x:c>
      <x:c r="E7" s="43" t="str">
        <x:v>Not Run</x:v>
      </x:c>
      <x:c r="F7" s="43" t="str">
        <x:v>P13D-BUG-02</x:v>
      </x:c>
      <x:c r="G7" s="43" t="str"/>
    </x:row>
    <x:row r="8" ht="54" customHeight="1">
      <x:c r="A8" s="43" t="str">
        <x:v>13D-AC-04</x:v>
      </x:c>
      <x:c r="B8" s="43" t="str">
        <x:v>PRA-13D-03</x:v>
      </x:c>
      <x:c r="C8" s="43" t="str">
        <x:v>Shared passage/transcript/media change invalidates all dependents</x:v>
      </x:c>
      <x:c r="D8" s="43" t="str">
        <x:v>Shared stimulus/media digest test</x:v>
      </x:c>
      <x:c r="E8" s="43" t="str">
        <x:v>Not Run</x:v>
      </x:c>
      <x:c r="F8" s="43" t="str"/>
      <x:c r="G8" s="43" t="str"/>
    </x:row>
    <x:row r="9" ht="54" customHeight="1">
      <x:c r="A9" s="43" t="str">
        <x:v>13D-AC-05</x:v>
      </x:c>
      <x:c r="B9" s="43" t="str">
        <x:v>PRA-13D-03</x:v>
      </x:c>
      <x:c r="C9" s="43" t="str">
        <x:v>Model/prompt/schema/language change invalidates intentionally</x:v>
      </x:c>
      <x:c r="D9" s="43" t="str">
        <x:v>Provider-contract version test</x:v>
      </x:c>
      <x:c r="E9" s="43" t="str">
        <x:v>Not Run</x:v>
      </x:c>
      <x:c r="F9" s="43" t="str"/>
      <x:c r="G9" s="43" t="str"/>
    </x:row>
    <x:row r="10" ht="54" customHeight="1">
      <x:c r="A10" s="43" t="str">
        <x:v>13D-AC-06</x:v>
      </x:c>
      <x:c r="B10" s="43" t="str">
        <x:v>PRA-13D-06</x:v>
      </x:c>
      <x:c r="C10" s="43" t="str">
        <x:v>Two concurrent workers cannot call provider twice</x:v>
      </x:c>
      <x:c r="D10" s="43" t="str">
        <x:v>Concurrency/multi-node claim test</x:v>
      </x:c>
      <x:c r="E10" s="43" t="str">
        <x:v>Not Run</x:v>
      </x:c>
      <x:c r="F10" s="43" t="str">
        <x:v>P13D-BUG-03</x:v>
      </x:c>
      <x:c r="G10" s="43" t="str"/>
    </x:row>
    <x:row r="11" ht="54" customHeight="1">
      <x:c r="A11" s="43" t="str">
        <x:v>13D-AC-07</x:v>
      </x:c>
      <x:c r="B11" s="43" t="str">
        <x:v>PRA-13D-06</x:v>
      </x:c>
      <x:c r="C11" s="43" t="str">
        <x:v>Provider failure does not roll back publication and follows bounded retry</x:v>
      </x:c>
      <x:c r="D11" s="43" t="str">
        <x:v>Publish + retry integration test</x:v>
      </x:c>
      <x:c r="E11" s="43" t="str">
        <x:v>Not Run</x:v>
      </x:c>
      <x:c r="F11" s="43" t="str"/>
      <x:c r="G11" s="43" t="str"/>
    </x:row>
    <x:row r="12" ht="54" customHeight="1">
      <x:c r="A12" s="43" t="str">
        <x:v>13D-AC-08</x:v>
      </x:c>
      <x:c r="B12" s="43" t="str">
        <x:v>PRA-13D-07</x:v>
      </x:c>
      <x:c r="C12" s="43" t="str">
        <x:v>Repeated overview/detail GET causes zero provider calls and zero writes</x:v>
      </x:c>
      <x:c r="D12" s="43" t="str">
        <x:v>Controller/service provider-spy test</x:v>
      </x:c>
      <x:c r="E12" s="43" t="str">
        <x:v>Not Run</x:v>
      </x:c>
      <x:c r="F12" s="43" t="str">
        <x:v>P13D-BUG-01</x:v>
      </x:c>
      <x:c r="G12" s="43" t="str"/>
    </x:row>
    <x:row r="13" ht="54" customHeight="1">
      <x:c r="A13" s="43" t="str">
        <x:v>13D-AC-09</x:v>
      </x:c>
      <x:c r="B13" s="43" t="str">
        <x:v>PRA-13D-07</x:v>
      </x:c>
      <x:c r="C13" s="43" t="str">
        <x:v>Old attempt renders old immutable question and binding after republish</x:v>
      </x:c>
      <x:c r="D13" s="43" t="str">
        <x:v>Old-attempt isolation integration test</x:v>
      </x:c>
      <x:c r="E13" s="43" t="str">
        <x:v>Not Run</x:v>
      </x:c>
      <x:c r="F13" s="43" t="str"/>
      <x:c r="G13" s="43" t="str"/>
    </x:row>
    <x:row r="14" ht="54" customHeight="1">
      <x:c r="A14" s="43" t="str">
        <x:v>13D-AC-10</x:v>
      </x:c>
      <x:c r="B14" s="43" t="str">
        <x:v>PRA-13D-07</x:v>
      </x:c>
      <x:c r="C14" s="43" t="str">
        <x:v>New attempt renders new binding</x:v>
      </x:c>
      <x:c r="D14" s="43" t="str">
        <x:v>New-attempt binding test</x:v>
      </x:c>
      <x:c r="E14" s="43" t="str">
        <x:v>Not Run</x:v>
      </x:c>
      <x:c r="F14" s="43" t="str"/>
      <x:c r="G14" s="43" t="str"/>
    </x:row>
    <x:row r="15" ht="54" customHeight="1">
      <x:c r="A15" s="43" t="str">
        <x:v>13D-AC-11</x:v>
      </x:c>
      <x:c r="B15" s="43" t="str">
        <x:v>PRA-13D-07</x:v>
      </x:c>
      <x:c r="C15" s="43" t="str">
        <x:v>Learner overlay differs while base artifact is shared</x:v>
      </x:c>
      <x:c r="D15" s="43" t="str">
        <x:v>Two-learner overlay test</x:v>
      </x:c>
      <x:c r="E15" s="43" t="str">
        <x:v>Not Run</x:v>
      </x:c>
      <x:c r="F15" s="43" t="str"/>
      <x:c r="G15" s="43" t="str"/>
    </x:row>
    <x:row r="16" ht="54" customHeight="1">
      <x:c r="A16" s="43" t="str">
        <x:v>13D-AC-12</x:v>
      </x:c>
      <x:c r="B16" s="43" t="str">
        <x:v>PRA-13D-02</x:v>
      </x:c>
      <x:c r="C16" s="43" t="str">
        <x:v>Writing/Speaking unavailable or pending remains null/unavailable</x:v>
      </x:c>
      <x:c r="D16" s="43" t="str">
        <x:v>Presenter state test</x:v>
      </x:c>
      <x:c r="E16" s="43" t="str">
        <x:v>Not Run</x:v>
      </x:c>
      <x:c r="F16" s="43" t="str">
        <x:v>P13D-BUG-04</x:v>
      </x:c>
      <x:c r="G16" s="43" t="str"/>
    </x:row>
    <x:row r="17" ht="54" customHeight="1">
      <x:c r="A17" s="43" t="str">
        <x:v>13D-AC-13</x:v>
      </x:c>
      <x:c r="B17" s="43" t="str">
        <x:v>PRA-13D-02</x:v>
      </x:c>
      <x:c r="C17" s="43" t="str">
        <x:v>Objective counts preserve partial/not-answered/pending/unscorable and denominator</x:v>
      </x:c>
      <x:c r="D17" s="43" t="str">
        <x:v>Objective presenter test</x:v>
      </x:c>
      <x:c r="E17" s="43" t="str">
        <x:v>Not Run</x:v>
      </x:c>
      <x:c r="F17" s="43" t="str">
        <x:v>P13D-BUG-05</x:v>
      </x:c>
      <x:c r="G17" s="43" t="str"/>
    </x:row>
    <x:row r="18" ht="54" customHeight="1">
      <x:c r="A18" s="43" t="str">
        <x:v>13D-AC-14</x:v>
      </x:c>
      <x:c r="B18" s="43" t="str">
        <x:v>PRA-13D-06</x:v>
      </x:c>
      <x:c r="C18" s="43" t="str">
        <x:v>Malformed or missing artifact JSON is unavailable/failed, never READY</x:v>
      </x:c>
      <x:c r="D18" s="43" t="str">
        <x:v>Normalizer/reader failure test</x:v>
      </x:c>
      <x:c r="E18" s="43" t="str">
        <x:v>Not Run</x:v>
      </x:c>
      <x:c r="F18" s="43" t="str"/>
      <x:c r="G18" s="43" t="str"/>
    </x:row>
    <x:row r="19" ht="54" customHeight="1">
      <x:c r="A19" s="43" t="str">
        <x:v>13D-AC-15</x:v>
      </x:c>
      <x:c r="B19" s="43" t="str">
        <x:v>PRA-13D-01</x:v>
      </x:c>
      <x:c r="C19" s="43" t="str">
        <x:v>All skills use one route/envelope/shell and exactly one presenter</x:v>
      </x:c>
      <x:c r="D19" s="43" t="str">
        <x:v>Route/template static + controller test</x:v>
      </x:c>
      <x:c r="E19" s="43" t="str">
        <x:v>Not Run</x:v>
      </x:c>
      <x:c r="F19" s="43" t="str">
        <x:v>P13D-BUG-06</x:v>
      </x:c>
      <x:c r="G19" s="43" t="str"/>
    </x:row>
    <x:row r="20" ht="54" customHeight="1">
      <x:c r="A20" s="43" t="str">
        <x:v>13D-AC-16</x:v>
      </x:c>
      <x:c r="B20" s="43" t="str">
        <x:v>PRA-13D-01</x:v>
      </x:c>
      <x:c r="C20" s="43" t="str">
        <x:v>Multi-question Speaking renders one holistic summary</x:v>
      </x:c>
      <x:c r="D20" s="43" t="str">
        <x:v>Speaking presenter test</x:v>
      </x:c>
      <x:c r="E20" s="43" t="str">
        <x:v>Not Run</x:v>
      </x:c>
      <x:c r="F20" s="43" t="str"/>
      <x:c r="G20" s="43" t="str"/>
    </x:row>
    <x:row r="21" ht="54" customHeight="1">
      <x:c r="A21" s="43" t="str">
        <x:v>13D-AC-17</x:v>
      </x:c>
      <x:c r="B21" s="43" t="str">
        <x:v>PRA-13D-02</x:v>
      </x:c>
      <x:c r="C21" s="43" t="str">
        <x:v>Speaking aggregation reports immutable weighting, coverage and denominators</x:v>
      </x:c>
      <x:c r="D21" s="43" t="str">
        <x:v>Speaking aggregation test</x:v>
      </x:c>
      <x:c r="E21" s="43" t="str">
        <x:v>Not Run</x:v>
      </x:c>
      <x:c r="F21" s="43" t="str"/>
      <x:c r="G21" s="43" t="str"/>
    </x:row>
    <x:row r="22" ht="54" customHeight="1">
      <x:c r="A22" s="43" t="str">
        <x:v>13D-AC-18</x:v>
      </x:c>
      <x:c r="B22" s="43" t="str">
        <x:v>PRA-13D-02</x:v>
      </x:c>
      <x:c r="C22" s="43" t="str">
        <x:v>Transcript-only feedback labels fluency/pronunciation evidence limited</x:v>
      </x:c>
      <x:c r="D22" s="43" t="str">
        <x:v>Semantic label/template test</x:v>
      </x:c>
      <x:c r="E22" s="43" t="str">
        <x:v>Not Run</x:v>
      </x:c>
      <x:c r="F22" s="43" t="str">
        <x:v>PRACTICE-SPEAKING-001</x:v>
      </x:c>
      <x:c r="G22" s="43" t="str"/>
    </x:row>
    <x:row r="23" ht="54" customHeight="1">
      <x:c r="A23" s="43" t="str">
        <x:v>13D-AC-19</x:v>
      </x:c>
      <x:c r="B23" s="43" t="str">
        <x:v>PRA-13D-02</x:v>
      </x:c>
      <x:c r="C23" s="43" t="str">
        <x:v>Q53/Q54 renders four lenses without duplicating official language score</x:v>
      </x:c>
      <x:c r="D23" s="43" t="str">
        <x:v>Writing presenter/rubric test</x:v>
      </x:c>
      <x:c r="E23" s="43" t="str">
        <x:v>Not Run</x:v>
      </x:c>
      <x:c r="F23" s="43" t="str"/>
      <x:c r="G23" s="43" t="str"/>
    </x:row>
    <x:row r="24" ht="54" customHeight="1">
      <x:c r="A24" s="43" t="str">
        <x:v>13D-AC-20</x:v>
      </x:c>
      <x:c r="B24" s="43" t="str">
        <x:v>PRA-13D-02</x:v>
      </x:c>
      <x:c r="C24" s="43" t="str">
        <x:v>Q51/Q52 retain ESSAY task-native two-answer rubric</x:v>
      </x:c>
      <x:c r="D24" s="43" t="str">
        <x:v>Writing task-type test</x:v>
      </x:c>
      <x:c r="E24" s="43" t="str">
        <x:v>Not Run</x:v>
      </x:c>
      <x:c r="F24" s="43" t="str"/>
      <x:c r="G24" s="43" t="str"/>
    </x:row>
    <x:row r="25" ht="54" customHeight="1">
      <x:c r="A25" s="43" t="str">
        <x:v>13D-AC-21</x:v>
      </x:c>
      <x:c r="B25" s="43" t="str">
        <x:v>PRA-13D-01</x:v>
      </x:c>
      <x:c r="C25" s="43" t="str">
        <x:v>Writing task selector comes from immutable metadata</x:v>
      </x:c>
      <x:c r="D25" s="43" t="str">
        <x:v>Variable task-count presenter test</x:v>
      </x:c>
      <x:c r="E25" s="43" t="str">
        <x:v>Not Run</x:v>
      </x:c>
      <x:c r="F25" s="43" t="str"/>
      <x:c r="G25" s="43" t="str"/>
    </x:row>
    <x:row r="26" ht="54" customHeight="1">
      <x:c r="A26" s="43" t="str">
        <x:v>13D-AC-22</x:v>
      </x:c>
      <x:c r="B26" s="43" t="str">
        <x:v>PRA-13D-02</x:v>
      </x:c>
      <x:c r="C26" s="43" t="str">
        <x:v>Every criterion bar/descriptor/finding is backed by stored evidence</x:v>
      </x:c>
      <x:c r="D26" s="43" t="str">
        <x:v>No-fabrication template test</x:v>
      </x:c>
      <x:c r="E26" s="43" t="str">
        <x:v>Not Run</x:v>
      </x:c>
      <x:c r="F26" s="43" t="str">
        <x:v>P13D-BUG-04</x:v>
      </x:c>
      <x:c r="G26" s="43" t="str"/>
    </x:row>
    <x:row r="27" ht="54" customHeight="1">
      <x:c r="A27" s="43" t="str">
        <x:v>13D-AC-23</x:v>
      </x:c>
      <x:c r="B27" s="43" t="str">
        <x:v>PRA-13D-02</x:v>
      </x:c>
      <x:c r="C27" s="43" t="str">
        <x:v>Zero-point objective result is not congratulated and keeps denominator</x:v>
      </x:c>
      <x:c r="D27" s="43" t="str">
        <x:v>Zero-score presenter test</x:v>
      </x:c>
      <x:c r="E27" s="43" t="str">
        <x:v>Not Run</x:v>
      </x:c>
      <x:c r="F27" s="43" t="str">
        <x:v>P13D-BUG-04</x:v>
      </x:c>
      <x:c r="G27" s="43" t="str"/>
    </x:row>
    <x:row r="28" ht="54" customHeight="1">
      <x:c r="A28" s="43" t="str">
        <x:v>13D-AC-24</x:v>
      </x:c>
      <x:c r="B28" s="43" t="str">
        <x:v>PRA-13D-01</x:v>
      </x:c>
      <x:c r="C28" s="43" t="str">
        <x:v>Semantic scales work without color and fit responsive layouts</x:v>
      </x:c>
      <x:c r="D28" s="43" t="str">
        <x:v>A11y/responsive validation</x:v>
      </x:c>
      <x:c r="E28" s="43" t="str">
        <x:v>Deferred to 13H</x:v>
      </x:c>
      <x:c r="F28" s="43" t="str"/>
      <x:c r="G28" s="43" t="str"/>
    </x:row>
    <x:row r="29" ht="54" customHeight="1">
      <x:c r="A29" s="43" t="str">
        <x:v>13D-AC-25</x:v>
      </x:c>
      <x:c r="B29" s="43" t="str">
        <x:v>PRA-13D-08</x:v>
      </x:c>
      <x:c r="C29" s="43" t="str">
        <x:v>Static audit finds one assembler/shell and exactly three presenter fragments</x:v>
      </x:c>
      <x:c r="D29" s="43" t="str">
        <x:v>Call-site/route/template scan</x:v>
      </x:c>
      <x:c r="E29" s="43" t="str">
        <x:v>Not Run</x:v>
      </x:c>
      <x:c r="F29" s="43" t="str">
        <x:v>P13D-BUG-06</x:v>
      </x:c>
      <x:c r="G29" s="43" t="str"/>
    </x:row>
  </x:sheetData>
  <x:mergeCells>
    <x:mergeCell ref="A1:G1"/>
    <x:mergeCell ref="A2:G2"/>
  </x:mergeCells>
  <x:conditionalFormatting sqref="E5:E29">
    <x:cfRule type="containsText" dxfId="8" priority="1" operator="containsText" text="Done"/>
    <x:cfRule type="containsText" dxfId="9" priority="2" operator="containsText" text="Ready for Validation"/>
    <x:cfRule type="containsText" dxfId="10" priority="3" operator="containsText" text="Needs Evidence"/>
    <x:cfRule type="containsText" dxfId="11" priority="4" operator="containsText" text="Blocked"/>
    <x:cfRule type="containsText" dxfId="12" priority="5" operator="containsText" text="Icebox"/>
    <x:cfRule type="containsText" dxfId="13" priority="6" operator="containsText" text="Backlog"/>
  </x:conditionalFormatting>
  <x:dataValidations count="1">
    <x:dataValidation type="list" sqref="E5:E29">
      <x:formula1>"Not Run,Passed,Failed,Blocked,Deferred to 13H"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3374710dac42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4" hidden="0" customWidth="1"/>
    <x:col min="4" max="4" width="28" hidden="0" customWidth="1"/>
    <x:col min="5" max="5" width="18" hidden="0" customWidth="1"/>
    <x:col min="6" max="6" width="12" hidden="0" customWidth="1"/>
    <x:col min="7" max="7" width="12" hidden="0" customWidth="1"/>
    <x:col min="8" max="8" width="20" hidden="0" customWidth="1"/>
    <x:col min="9" max="9" width="20" hidden="0" customWidth="1"/>
    <x:col min="10" max="10" width="42" hidden="0" customWidth="1"/>
    <x:col min="11" max="11" width="42" hidden="0" customWidth="1"/>
    <x:col min="12" max="12" width="40" hidden="0" customWidth="1"/>
    <x:col min="13" max="13" width="38" hidden="0" customWidth="1"/>
    <x:col min="14" max="14" width="44" hidden="0" customWidth="1"/>
    <x:col min="15" max="15" width="34" hidden="0" customWidth="1"/>
    <x:col min="16" max="16" width="34" hidden="0" customWidth="1"/>
    <x:col min="17" max="17" width="16" hidden="0" customWidth="1"/>
    <x:col min="18" max="18" width="16" hidden="0" customWidth="1"/>
    <x:col min="19" max="19" width="15" hidden="0" customWidth="1"/>
    <x:col min="20" max="20" width="24" hidden="0" customWidth="1"/>
    <x:col min="21" max="21" width="34" hidden="0" customWidth="1"/>
    <x:col min="22" max="22" width="22" hidden="0" customWidth="1"/>
  </x:cols>
  <x:sheetData>
    <x:row r="1" ht="30" customHeight="1">
      <x:c r="A1" s="3" t="str">
        <x:v>Practice Bug, Risk &amp; Documentation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7" t="str">
        <x:v>Các runtime item chỉ có evidence Markdown được gắn Documented Risk/Needs Evidence. Tìm duplicate trên Jira trước khi tạo issue.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4" customHeight="1">
      <x:c r="A4" s="34" t="str">
        <x:v>Finding ID</x:v>
      </x:c>
      <x:c r="B4" s="35" t="str">
        <x:v>Issue Type</x:v>
      </x:c>
      <x:c r="C4" s="35" t="str">
        <x:v>Summary</x:v>
      </x:c>
      <x:c r="D4" s="35" t="str">
        <x:v>Component</x:v>
      </x:c>
      <x:c r="E4" s="35" t="str">
        <x:v>Parent Epic</x:v>
      </x:c>
      <x:c r="F4" s="35" t="str">
        <x:v>Severity</x:v>
      </x:c>
      <x:c r="G4" s="35" t="str">
        <x:v>Priority</x:v>
      </x:c>
      <x:c r="H4" s="35" t="str">
        <x:v>Confidence</x:v>
      </x:c>
      <x:c r="I4" s="35" t="str">
        <x:v>Status</x:v>
      </x:c>
      <x:c r="J4" s="35" t="str">
        <x:v>Expected Contract</x:v>
      </x:c>
      <x:c r="K4" s="35" t="str">
        <x:v>Actual / Documented Risk</x:v>
      </x:c>
      <x:c r="L4" s="35" t="str">
        <x:v>Reproduction / Verification</x:v>
      </x:c>
      <x:c r="M4" s="35" t="str">
        <x:v>Impact</x:v>
      </x:c>
      <x:c r="N4" s="35" t="str">
        <x:v>Acceptance Criteria</x:v>
      </x:c>
      <x:c r="O4" s="35" t="str">
        <x:v>Regression Evidence</x:v>
      </x:c>
      <x:c r="P4" s="35" t="str">
        <x:v>Labels</x:v>
      </x:c>
      <x:c r="Q4" s="35" t="str">
        <x:v>Duplicate Of</x:v>
      </x:c>
      <x:c r="R4" s="35" t="str">
        <x:v>Regression Of</x:v>
      </x:c>
      <x:c r="S4" s="35" t="str">
        <x:v>Found In Commit</x:v>
      </x:c>
      <x:c r="T4" s="35" t="str">
        <x:v>Environment / Source</x:v>
      </x:c>
      <x:c r="U4" s="35" t="str">
        <x:v>Privacy Notes</x:v>
      </x:c>
      <x:c r="V4" s="36" t="str">
        <x:v>Create Recommendation</x:v>
      </x:c>
    </x:row>
    <x:row r="5" ht="66" customHeight="1">
      <x:c r="A5" s="42" t="str">
        <x:v>P13D-BUG-01</x:v>
      </x:c>
      <x:c r="B5" s="42" t="str">
        <x:v>Bug</x:v>
      </x:c>
      <x:c r="C5" s="42" t="str">
        <x:v>Result GET gọi provider/tạo cache khi miss</x:v>
      </x:c>
      <x:c r="D5" s="42" t="str">
        <x:v>Practice Result</x:v>
      </x:c>
      <x:c r="E5" s="42" t="str">
        <x:v>PRA-13D</x:v>
      </x:c>
      <x:c r="F5" s="42" t="str">
        <x:v>High</x:v>
      </x:c>
      <x:c r="G5" s="42" t="str">
        <x:v>Highest</x:v>
      </x:c>
      <x:c r="H5" s="42" t="str">
        <x:v>Documented Claim</x:v>
      </x:c>
      <x:c r="I5" s="42" t="str">
        <x:v>Ready for Validation</x:v>
      </x:c>
      <x:c r="J5" s="42" t="str">
        <x:v>GET chỉ đọc binding/artifact</x:v>
      </x:c>
      <x:c r="K5" s="42" t="str">
        <x:v>Pre-13D path từng tạo cache/provider work</x:v>
      </x:c>
      <x:c r="L5" s="42" t="str">
        <x:v>Repeat result/detail GET và kiểm tra zero writes/provider calls</x:v>
      </x:c>
      <x:c r="M5" s="42" t="str">
        <x:v>Latency, cost và side effect trên read</x:v>
      </x:c>
      <x:c r="N5" s="42" t="str">
        <x:v>GET read-only trong mọi availability state</x:v>
      </x:c>
      <x:c r="O5" s="42" t="str">
        <x:v>Focused controller/service + provider spy</x:v>
      </x:c>
      <x:c r="P5" s="42" t="str">
        <x:v>practice,phase-13d,read-only-get</x:v>
      </x:c>
      <x:c r="Q5" s="42" t="str"/>
      <x:c r="R5" s="42" t="str"/>
      <x:c r="S5" s="42" t="str">
        <x:v>da350b5d</x:v>
      </x:c>
      <x:c r="T5" s="42" t="str">
        <x:v>Static docs</x:v>
      </x:c>
      <x:c r="U5" s="42" t="str">
        <x:v>Không ghi learner answer/provider payload</x:v>
      </x:c>
      <x:c r="V5" s="42" t="str">
        <x:v>Needs validation</x:v>
      </x:c>
    </x:row>
    <x:row r="6" ht="66" customHeight="1">
      <x:c r="A6" s="43" t="str">
        <x:v>P13D-BUG-02</x:v>
      </x:c>
      <x:c r="B6" s="43" t="str">
        <x:v>Bug</x:v>
      </x:c>
      <x:c r="C6" s="43" t="str">
        <x:v>Cache key chứa question/question-version ID gây miss khi republish</x:v>
      </x:c>
      <x:c r="D6" s="43" t="str">
        <x:v>Practice R/L AI</x:v>
      </x:c>
      <x:c r="E6" s="43" t="str">
        <x:v>PRA-13D</x:v>
      </x:c>
      <x:c r="F6" s="43" t="str">
        <x:v>Medium</x:v>
      </x:c>
      <x:c r="G6" s="43" t="str">
        <x:v>Highest</x:v>
      </x:c>
      <x:c r="H6" s="43" t="str">
        <x:v>Documented Claim</x:v>
      </x:c>
      <x:c r="I6" s="43" t="str">
        <x:v>Ready for Validation</x:v>
      </x:c>
      <x:c r="J6" s="43" t="str">
        <x:v>Fingerprint content-addressed, không chứa IDs</x:v>
      </x:c>
      <x:c r="K6" s="43" t="str">
        <x:v>Pre-13D key phụ thuộc identity graph</x:v>
      </x:c>
      <x:c r="L6" s="43" t="str">
        <x:v>Republish tương đương và q1-only edit</x:v>
      </x:c>
      <x:c r="M6" s="43" t="str">
        <x:v>Chi phí AI và không reuse</x:v>
      </x:c>
      <x:c r="N6" s="43" t="str">
        <x:v>Equivalent republish zero call; q1 edit one call</x:v>
      </x:c>
      <x:c r="O6" s="43" t="str">
        <x:v>Fingerprint/integration tests</x:v>
      </x:c>
      <x:c r="P6" s="43" t="str">
        <x:v>practice,phase-13d,fingerprint</x:v>
      </x:c>
      <x:c r="Q6" s="43" t="str"/>
      <x:c r="R6" s="43" t="str"/>
      <x:c r="S6" s="43" t="str">
        <x:v>da350b5d</x:v>
      </x:c>
      <x:c r="T6" s="43" t="str">
        <x:v>Static docs</x:v>
      </x:c>
      <x:c r="U6" s="43" t="str">
        <x:v>Không ghi raw fingerprint</x:v>
      </x:c>
      <x:c r="V6" s="43" t="str">
        <x:v>Needs validation</x:v>
      </x:c>
    </x:row>
    <x:row r="7" ht="66" customHeight="1">
      <x:c r="A7" s="43" t="str">
        <x:v>P13D-BUG-03</x:v>
      </x:c>
      <x:c r="B7" s="43" t="str">
        <x:v>Bug</x:v>
      </x:c>
      <x:c r="C7" s="43" t="str">
        <x:v>JVM-local lock không chống duplicate provider call multi-node</x:v>
      </x:c>
      <x:c r="D7" s="43" t="str">
        <x:v>Practice Worker/Operations</x:v>
      </x:c>
      <x:c r="E7" s="43" t="str">
        <x:v>PRA-13D</x:v>
      </x:c>
      <x:c r="F7" s="43" t="str">
        <x:v>High</x:v>
      </x:c>
      <x:c r="G7" s="43" t="str">
        <x:v>Highest</x:v>
      </x:c>
      <x:c r="H7" s="43" t="str">
        <x:v>Documented Claim</x:v>
      </x:c>
      <x:c r="I7" s="43" t="str">
        <x:v>Ready for Validation</x:v>
      </x:c>
      <x:c r="J7" s="43" t="str">
        <x:v>DB atomic claim/lease và uniqueness</x:v>
      </x:c>
      <x:c r="K7" s="43" t="str">
        <x:v>Pre-13D protection chỉ trong một JVM</x:v>
      </x:c>
      <x:c r="L7" s="43" t="str">
        <x:v>Hai workers/nodes claim cùng fingerprint</x:v>
      </x:c>
      <x:c r="M7" s="43" t="str">
        <x:v>Duplicate cost và inconsistent state</x:v>
      </x:c>
      <x:c r="N7" s="43" t="str">
        <x:v>Một provider call/artifact/task active</x:v>
      </x:c>
      <x:c r="O7" s="43" t="str">
        <x:v>Concurrency/integration test</x:v>
      </x:c>
      <x:c r="P7" s="43" t="str">
        <x:v>practice,phase-13d,multi-node</x:v>
      </x:c>
      <x:c r="Q7" s="43" t="str"/>
      <x:c r="R7" s="43" t="str"/>
      <x:c r="S7" s="43" t="str">
        <x:v>da350b5d</x:v>
      </x:c>
      <x:c r="T7" s="43" t="str">
        <x:v>Static docs</x:v>
      </x:c>
      <x:c r="U7" s="43" t="str">
        <x:v>Sanitize worker IDs</x:v>
      </x:c>
      <x:c r="V7" s="43" t="str">
        <x:v>Needs validation</x:v>
      </x:c>
    </x:row>
    <x:row r="8" ht="66" customHeight="1">
      <x:c r="A8" s="43" t="str">
        <x:v>P13D-BUG-04</x:v>
      </x:c>
      <x:c r="B8" s="43" t="str">
        <x:v>Bug</x:v>
      </x:c>
      <x:c r="C8" s="43" t="str">
        <x:v>Result UI fabricated arithmetic, null→0 và congratulations</x:v>
      </x:c>
      <x:c r="D8" s="43" t="str">
        <x:v>Practice Result</x:v>
      </x:c>
      <x:c r="E8" s="43" t="str">
        <x:v>PRA-13D</x:v>
      </x:c>
      <x:c r="F8" s="43" t="str">
        <x:v>High</x:v>
      </x:c>
      <x:c r="G8" s="43" t="str">
        <x:v>Highest</x:v>
      </x:c>
      <x:c r="H8" s="43" t="str">
        <x:v>Documented Claim</x:v>
      </x:c>
      <x:c r="I8" s="43" t="str">
        <x:v>Ready for Validation</x:v>
      </x:c>
      <x:c r="J8" s="43" t="str">
        <x:v>Chỉ render persisted evidence và honest state</x:v>
      </x:c>
      <x:c r="K8" s="43" t="str">
        <x:v>Pre-13D UI tạo số liệu/claim không có evidence</x:v>
      </x:c>
      <x:c r="L8" s="43" t="str">
        <x:v>Render zero, null, pending, failed và malformed result</x:v>
      </x:c>
      <x:c r="M8" s="43" t="str">
        <x:v>Misleading product behavior</x:v>
      </x:c>
      <x:c r="N8" s="43" t="str">
        <x:v>Không fabricated metric; zero không được chúc mừng</x:v>
      </x:c>
      <x:c r="O8" s="43" t="str">
        <x:v>Presenter/template tests</x:v>
      </x:c>
      <x:c r="P8" s="43" t="str">
        <x:v>practice,phase-13d,semantic-validity</x:v>
      </x:c>
      <x:c r="Q8" s="43" t="str"/>
      <x:c r="R8" s="43" t="str"/>
      <x:c r="S8" s="43" t="str">
        <x:v>da350b5d</x:v>
      </x:c>
      <x:c r="T8" s="43" t="str">
        <x:v>Static docs</x:v>
      </x:c>
      <x:c r="U8" s="43" t="str">
        <x:v>No learner payload in screenshots</x:v>
      </x:c>
      <x:c r="V8" s="43" t="str">
        <x:v>Needs validation</x:v>
      </x:c>
    </x:row>
    <x:row r="9" ht="66" customHeight="1">
      <x:c r="A9" s="43" t="str">
        <x:v>P13D-BUG-05</x:v>
      </x:c>
      <x:c r="B9" s="43" t="str">
        <x:v>Bug</x:v>
      </x:c>
      <x:c r="C9" s="43" t="str">
        <x:v>Objective result mất partial/not-answered/pending/unscorable denominator</x:v>
      </x:c>
      <x:c r="D9" s="43" t="str">
        <x:v>Practice Result</x:v>
      </x:c>
      <x:c r="E9" s="43" t="str">
        <x:v>PRA-13D</x:v>
      </x:c>
      <x:c r="F9" s="43" t="str">
        <x:v>High</x:v>
      </x:c>
      <x:c r="G9" s="43" t="str">
        <x:v>Highest</x:v>
      </x:c>
      <x:c r="H9" s="43" t="str">
        <x:v>Documented Claim</x:v>
      </x:c>
      <x:c r="I9" s="43" t="str">
        <x:v>Ready for Validation</x:v>
      </x:c>
      <x:c r="J9" s="43" t="str">
        <x:v>Canonical state distribution có denominator</x:v>
      </x:c>
      <x:c r="K9" s="43" t="str">
        <x:v>Pre-13D summary collapse binary</x:v>
      </x:c>
      <x:c r="L9" s="43" t="str">
        <x:v>Submit mixed answer states</x:v>
      </x:c>
      <x:c r="M9" s="43" t="str">
        <x:v>Sai diễn giải kết quả</x:v>
      </x:c>
      <x:c r="N9" s="43" t="str">
        <x:v>Mọi state và denominator được giữ</x:v>
      </x:c>
      <x:c r="O9" s="43" t="str">
        <x:v>Objective presenter tests</x:v>
      </x:c>
      <x:c r="P9" s="43" t="str">
        <x:v>practice,phase-13d,objective-score</x:v>
      </x:c>
      <x:c r="Q9" s="43" t="str"/>
      <x:c r="R9" s="43" t="str"/>
      <x:c r="S9" s="43" t="str">
        <x:v>da350b5d</x:v>
      </x:c>
      <x:c r="T9" s="43" t="str">
        <x:v>Static docs</x:v>
      </x:c>
      <x:c r="U9" s="43" t="str">
        <x:v>No learner answer content</x:v>
      </x:c>
      <x:c r="V9" s="43" t="str">
        <x:v>Needs validation</x:v>
      </x:c>
    </x:row>
    <x:row r="10" ht="66" customHeight="1">
      <x:c r="A10" s="43" t="str">
        <x:v>P13D-BUG-06</x:v>
      </x:c>
      <x:c r="B10" s="43" t="str">
        <x:v>Bug</x:v>
      </x:c>
      <x:c r="C10" s="43" t="str">
        <x:v>Hai result architectures và fragments song song</x:v>
      </x:c>
      <x:c r="D10" s="43" t="str">
        <x:v>Practice Result</x:v>
      </x:c>
      <x:c r="E10" s="43" t="str">
        <x:v>PRA-13D</x:v>
      </x:c>
      <x:c r="F10" s="43" t="str">
        <x:v>Medium</x:v>
      </x:c>
      <x:c r="G10" s="43" t="str">
        <x:v>High</x:v>
      </x:c>
      <x:c r="H10" s="43" t="str">
        <x:v>Documented Claim</x:v>
      </x:c>
      <x:c r="I10" s="43" t="str">
        <x:v>Ready for Validation</x:v>
      </x:c>
      <x:c r="J10" s="43" t="str">
        <x:v>Một assembler/shell và ba presenters</x:v>
      </x:c>
      <x:c r="K10" s="43" t="str">
        <x:v>Pre-13D route/template/DTO parallel</x:v>
      </x:c>
      <x:c r="L10" s="43" t="str">
        <x:v>Static route/template/call-site audit</x:v>
      </x:c>
      <x:c r="M10" s="43" t="str">
        <x:v>Dead path và contract drift</x:v>
      </x:c>
      <x:c r="N10" s="43" t="str">
        <x:v>Exactly one active overview path</x:v>
      </x:c>
      <x:c r="O10" s="43" t="str">
        <x:v>Static audit + route tests</x:v>
      </x:c>
      <x:c r="P10" s="43" t="str">
        <x:v>practice,phase-13d,duplicate-implementation</x:v>
      </x:c>
      <x:c r="Q10" s="43" t="str"/>
      <x:c r="R10" s="43" t="str"/>
      <x:c r="S10" s="43" t="str">
        <x:v>da350b5d</x:v>
      </x:c>
      <x:c r="T10" s="43" t="str">
        <x:v>Static docs</x:v>
      </x:c>
      <x:c r="U10" s="43" t="str">
        <x:v>N/A</x:v>
      </x:c>
      <x:c r="V10" s="43" t="str">
        <x:v>Needs validation</x:v>
      </x:c>
    </x:row>
    <x:row r="11" ht="66" customHeight="1">
      <x:c r="A11" s="43" t="str">
        <x:v>PRACTICE-SPEAKING-001</x:v>
      </x:c>
      <x:c r="B11" s="43" t="str">
        <x:v>Bug / RFC</x:v>
      </x:c>
      <x:c r="C11" s="43" t="str">
        <x:v>Evaluator chưa nhận learner audio nhưng có acoustic-like criteria</x:v>
      </x:c>
      <x:c r="D11" s="43" t="str">
        <x:v>Practice Speaking AI</x:v>
      </x:c>
      <x:c r="E11" s="43" t="str">
        <x:v>PRA-15D</x:v>
      </x:c>
      <x:c r="F11" s="43" t="str">
        <x:v>High</x:v>
      </x:c>
      <x:c r="G11" s="43" t="str">
        <x:v>Highest</x:v>
      </x:c>
      <x:c r="H11" s="43" t="str">
        <x:v>Documented Risk</x:v>
      </x:c>
      <x:c r="I11" s="43" t="str">
        <x:v>Blocked</x:v>
      </x:c>
      <x:c r="J11" s="43" t="str">
        <x:v>Acoustic claim cần audio evidence; transcript-only phải advisory/unavailable</x:v>
      </x:c>
      <x:c r="K11" s="43" t="str">
        <x:v>Docs xác nhận live evaluator không nhận audio</x:v>
      </x:c>
      <x:c r="L11" s="43" t="str">
        <x:v>Inspect final provider payload và calibration fixtures</x:v>
      </x:c>
      <x:c r="M11" s="43" t="str">
        <x:v>Misleading pronunciation/fluency; rollout blocker</x:v>
      </x:c>
      <x:c r="N11" s="43" t="str">
        <x:v>Audio reaches evaluator or unsupported metrics disabled/labeled</x:v>
      </x:c>
      <x:c r="O11" s="43" t="str">
        <x:v>Provider payload/runtime evidence</x:v>
      </x:c>
      <x:c r="P11" s="43" t="str">
        <x:v>practice,speaking,ai-contract,no-go</x:v>
      </x:c>
      <x:c r="Q11" s="43" t="str"/>
      <x:c r="R11" s="43" t="str"/>
      <x:c r="S11" s="43" t="str">
        <x:v>da350b5d</x:v>
      </x:c>
      <x:c r="T11" s="43" t="str">
        <x:v>Needs runtime evidence</x:v>
      </x:c>
      <x:c r="U11" s="43" t="str">
        <x:v>Không đưa audio/transcript thật lên Jira</x:v>
      </x:c>
      <x:c r="V11" s="43" t="str">
        <x:v>Needs evidence</x:v>
      </x:c>
    </x:row>
    <x:row r="12" ht="66" customHeight="1">
      <x:c r="A12" s="43" t="str">
        <x:v>PRACTICE-VERSION-001</x:v>
      </x:c>
      <x:c r="B12" s="43" t="str">
        <x:v>Risk</x:v>
      </x:c>
      <x:c r="C12" s="43" t="str">
        <x:v>No-version attempts còn fallback live question graph</x:v>
      </x:c>
      <x:c r="D12" s="43" t="str">
        <x:v>Practice Publish/Versioning</x:v>
      </x:c>
      <x:c r="E12" s="43" t="str">
        <x:v>PRA-15A</x:v>
      </x:c>
      <x:c r="F12" s="43" t="str">
        <x:v>High</x:v>
      </x:c>
      <x:c r="G12" s="43" t="str">
        <x:v>High</x:v>
      </x:c>
      <x:c r="H12" s="43" t="str">
        <x:v>Documented Risk</x:v>
      </x:c>
      <x:c r="I12" s="43" t="str">
        <x:v>Needs Evidence</x:v>
      </x:c>
      <x:c r="J12" s="43" t="str">
        <x:v>Result/progress fail closed hoặc explicit unavailable history</x:v>
      </x:c>
      <x:c r="K12" s="43" t="str">
        <x:v>P15-COMP-05 ghi active fallback</x:v>
      </x:c>
      <x:c r="L12" s="43" t="str">
        <x:v>Inventory retained attempts và source/runtime paths</x:v>
      </x:c>
      <x:c r="M12" s="43" t="str">
        <x:v>Historical result có thể thay đổi</x:v>
      </x:c>
      <x:c r="N12" s="43" t="str">
        <x:v>Migrate/reset or explicit unavailable; no live fallback</x:v>
      </x:c>
      <x:c r="O12" s="43" t="str">
        <x:v>Migration + old-attempt tests</x:v>
      </x:c>
      <x:c r="P12" s="43" t="str">
        <x:v>practice,versioning,old-attempt-isolation</x:v>
      </x:c>
      <x:c r="Q12" s="43" t="str"/>
      <x:c r="R12" s="43" t="str"/>
      <x:c r="S12" s="43" t="str">
        <x:v>da350b5d</x:v>
      </x:c>
      <x:c r="T12" s="43" t="str">
        <x:v>Static docs</x:v>
      </x:c>
      <x:c r="U12" s="43" t="str">
        <x:v>Sanitize attempt IDs</x:v>
      </x:c>
      <x:c r="V12" s="43" t="str">
        <x:v>Needs evidence</x:v>
      </x:c>
    </x:row>
    <x:row r="13" ht="66" customHeight="1">
      <x:c r="A13" s="43" t="str">
        <x:v>PRACTICE-WRITING-001</x:v>
      </x:c>
      <x:c r="B13" s="43" t="str">
        <x:v>Risk</x:v>
      </x:c>
      <x:c r="C13" s="43" t="str">
        <x:v>Non-Writing ESSAY có thể đi vào Writing evaluator</x:v>
      </x:c>
      <x:c r="D13" s="43" t="str">
        <x:v>Practice Writing AI</x:v>
      </x:c>
      <x:c r="E13" s="43" t="str">
        <x:v>PRA-15A</x:v>
      </x:c>
      <x:c r="F13" s="43" t="str">
        <x:v>High</x:v>
      </x:c>
      <x:c r="G13" s="43" t="str">
        <x:v>High</x:v>
      </x:c>
      <x:c r="H13" s="43" t="str">
        <x:v>Documented Risk</x:v>
      </x:c>
      <x:c r="I13" s="43" t="str">
        <x:v>Needs Evidence</x:v>
      </x:c>
      <x:c r="J13" s="43" t="str">
        <x:v>Chỉ Writing Q51-Q54 ESSAY dùng Writing evaluator</x:v>
      </x:c>
      <x:c r="K13" s="43" t="str">
        <x:v>P15-COMP-02 ghi compatibility path</x:v>
      </x:c>
      <x:c r="L13" s="43" t="str">
        <x:v>Trace submit/re-evaluate for non-Writing ESSAY</x:v>
      </x:c>
      <x:c r="M13" s="43" t="str">
        <x:v>Sai evaluator và score semantics</x:v>
      </x:c>
      <x:c r="N13" s="43" t="str">
        <x:v>Reject new non-Writing ESSAY; migrate/remove legacy path</x:v>
      </x:c>
      <x:c r="O13" s="43" t="str">
        <x:v>Contract + compatibility tests</x:v>
      </x:c>
      <x:c r="P13" s="43" t="str">
        <x:v>practice,writing,compatibility</x:v>
      </x:c>
      <x:c r="Q13" s="43" t="str"/>
      <x:c r="R13" s="43" t="str"/>
      <x:c r="S13" s="43" t="str">
        <x:v>da350b5d</x:v>
      </x:c>
      <x:c r="T13" s="43" t="str">
        <x:v>Static docs</x:v>
      </x:c>
      <x:c r="U13" s="43" t="str">
        <x:v>No learner essay text</x:v>
      </x:c>
      <x:c r="V13" s="43" t="str">
        <x:v>Needs evidence</x:v>
      </x:c>
    </x:row>
    <x:row r="14" ht="66" customHeight="1">
      <x:c r="A14" s="43" t="str">
        <x:v>PRACTICE-SPEAKING-002</x:v>
      </x:c>
      <x:c r="B14" s="43" t="str">
        <x:v>Risk</x:v>
      </x:c>
      <x:c r="C14" s="43" t="str">
        <x:v>Legacy ESSAY/mixed feedback merge vào holistic Speaking</x:v>
      </x:c>
      <x:c r="D14" s="43" t="str">
        <x:v>Practice Speaking AI</x:v>
      </x:c>
      <x:c r="E14" s="43" t="str">
        <x:v>PRA-15A</x:v>
      </x:c>
      <x:c r="F14" s="43" t="str">
        <x:v>Medium</x:v>
      </x:c>
      <x:c r="G14" s="43" t="str">
        <x:v>High</x:v>
      </x:c>
      <x:c r="H14" s="43" t="str">
        <x:v>Documented Risk</x:v>
      </x:c>
      <x:c r="I14" s="43" t="str">
        <x:v>Needs Evidence</x:v>
      </x:c>
      <x:c r="J14" s="43" t="str">
        <x:v>Canonical Speaking feedback only</x:v>
      </x:c>
      <x:c r="K14" s="43" t="str">
        <x:v>P15-COMP-03 compatibility path</x:v>
      </x:c>
      <x:c r="L14" s="43" t="str">
        <x:v>Inventory retained Speaking payloads</x:v>
      </x:c>
      <x:c r="M14" s="43" t="str">
        <x:v>Mixed semantic contract</x:v>
      </x:c>
      <x:c r="N14" s="43" t="str">
        <x:v>Migrate/remove after retained-attempt review</x:v>
      </x:c>
      <x:c r="O14" s="43" t="str">
        <x:v>Compatibility tests</x:v>
      </x:c>
      <x:c r="P14" s="43" t="str">
        <x:v>practice,speaking,compatibility</x:v>
      </x:c>
      <x:c r="Q14" s="43" t="str"/>
      <x:c r="R14" s="43" t="str"/>
      <x:c r="S14" s="43" t="str">
        <x:v>da350b5d</x:v>
      </x:c>
      <x:c r="T14" s="43" t="str">
        <x:v>Static docs</x:v>
      </x:c>
      <x:c r="U14" s="43" t="str">
        <x:v>No raw feedback JSON</x:v>
      </x:c>
      <x:c r="V14" s="43" t="str">
        <x:v>Needs evidence</x:v>
      </x:c>
    </x:row>
    <x:row r="15" ht="66" customHeight="1">
      <x:c r="A15" s="43" t="str">
        <x:v>PRACTICE-IMPORT-001</x:v>
      </x:c>
      <x:c r="B15" s="43" t="str">
        <x:v>Risk</x:v>
      </x:c>
      <x:c r="C15" s="43" t="str">
        <x:v>Excel v1/v2 giữ duplicate legacy và canonical answer sources</x:v>
      </x:c>
      <x:c r="D15" s="43" t="str">
        <x:v>Practice Authoring/Import</x:v>
      </x:c>
      <x:c r="E15" s="43" t="str">
        <x:v>PRA-15A</x:v>
      </x:c>
      <x:c r="F15" s="43" t="str">
        <x:v>High</x:v>
      </x:c>
      <x:c r="G15" s="43" t="str">
        <x:v>High</x:v>
      </x:c>
      <x:c r="H15" s="43" t="str">
        <x:v>Documented Risk</x:v>
      </x:c>
      <x:c r="I15" s="43" t="str">
        <x:v>Needs Evidence</x:v>
      </x:c>
      <x:c r="J15" s="43" t="str">
        <x:v>Một versioned canonical answer source</x:v>
      </x:c>
      <x:c r="K15" s="43" t="str">
        <x:v>P15-COMP-09 ghi duplicate fields/adapters</x:v>
      </x:c>
      <x:c r="L15" s="43" t="str">
        <x:v>Round-trip mixed workbook và conflict cases</x:v>
      </x:c>
      <x:c r="M15" s="43" t="str">
        <x:v>Data integrity và wrong answer key</x:v>
      </x:c>
      <x:c r="N15" s="43" t="str">
        <x:v>One documented schema; conflicts rejected</x:v>
      </x:c>
      <x:c r="O15" s="43" t="str">
        <x:v>Import round-trip/migration tests</x:v>
      </x:c>
      <x:c r="P15" s="43" t="str">
        <x:v>practice,excel,data-integrity</x:v>
      </x:c>
      <x:c r="Q15" s="43" t="str"/>
      <x:c r="R15" s="43" t="str"/>
      <x:c r="S15" s="43" t="str">
        <x:v>da350b5d</x:v>
      </x:c>
      <x:c r="T15" s="43" t="str">
        <x:v>Static docs</x:v>
      </x:c>
      <x:c r="U15" s="43" t="str">
        <x:v>No workbook learner data</x:v>
      </x:c>
      <x:c r="V15" s="43" t="str">
        <x:v>Needs evidence</x:v>
      </x:c>
    </x:row>
    <x:row r="16" ht="66" customHeight="1">
      <x:c r="A16" s="43" t="str">
        <x:v>PRACTICE-DEAD-001</x:v>
      </x:c>
      <x:c r="B16" s="43" t="str">
        <x:v>Technical Debt</x:v>
      </x:c>
      <x:c r="C16" s="43" t="str">
        <x:v>Dead static/js/practice.js được test đọc trực tiếp</x:v>
      </x:c>
      <x:c r="D16" s="43" t="str">
        <x:v>Practice Docs/Test Data</x:v>
      </x:c>
      <x:c r="E16" s="43" t="str">
        <x:v>PRA-15A</x:v>
      </x:c>
      <x:c r="F16" s="43" t="str">
        <x:v>Low</x:v>
      </x:c>
      <x:c r="G16" s="43" t="str">
        <x:v>Low</x:v>
      </x:c>
      <x:c r="H16" s="43" t="str">
        <x:v>Documented</x:v>
      </x:c>
      <x:c r="I16" s="43" t="str">
        <x:v>Backlog</x:v>
      </x:c>
      <x:c r="J16" s="43" t="str">
        <x:v>Không giữ dead asset chỉ vì stale test</x:v>
      </x:c>
      <x:c r="K16" s="43" t="str">
        <x:v>P15-COMP-11 xác nhận không template/controller caller</x:v>
      </x:c>
      <x:c r="L16" s="43" t="str">
        <x:v>Final reference scan</x:v>
      </x:c>
      <x:c r="M16" s="43" t="str">
        <x:v>Maintenance noise và false confidence</x:v>
      </x:c>
      <x:c r="N16" s="43" t="str">
        <x:v>Remove asset and tests after scan</x:v>
      </x:c>
      <x:c r="O16" s="43" t="str">
        <x:v>Static reference audit</x:v>
      </x:c>
      <x:c r="P16" s="43" t="str">
        <x:v>practice,dead-code,phase-15</x:v>
      </x:c>
      <x:c r="Q16" s="43" t="str"/>
      <x:c r="R16" s="43" t="str"/>
      <x:c r="S16" s="43" t="str">
        <x:v>da350b5d</x:v>
      </x:c>
      <x:c r="T16" s="43" t="str">
        <x:v>Static docs</x:v>
      </x:c>
      <x:c r="U16" s="43" t="str">
        <x:v>N/A</x:v>
      </x:c>
      <x:c r="V16" s="43" t="str">
        <x:v>Ready for cleanup review</x:v>
      </x:c>
    </x:row>
    <x:row r="17" ht="66" customHeight="1">
      <x:c r="A17" s="43" t="str">
        <x:v>PRACTICE-OPS-001</x:v>
      </x:c>
      <x:c r="B17" s="43" t="str">
        <x:v>Task</x:v>
      </x:c>
      <x:c r="C17" s="43" t="str">
        <x:v>Runbook thiếu preparation/reconciler crash-gap health checks</x:v>
      </x:c>
      <x:c r="D17" s="43" t="str">
        <x:v>Practice Worker/Operations</x:v>
      </x:c>
      <x:c r="E17" s="43" t="str">
        <x:v>PRA-13D</x:v>
      </x:c>
      <x:c r="F17" s="43" t="str">
        <x:v>Medium</x:v>
      </x:c>
      <x:c r="G17" s="43" t="str">
        <x:v>High</x:v>
      </x:c>
      <x:c r="H17" s="43" t="str">
        <x:v>Documented Gap</x:v>
      </x:c>
      <x:c r="I17" s="43" t="str">
        <x:v>Backlog</x:v>
      </x:c>
      <x:c r="J17" s="43" t="str">
        <x:v>Ops có thể phát hiện missing preparation/reconciliation lag</x:v>
      </x:c>
      <x:c r="K17" s="43" t="str">
        <x:v>Runbook chỉ inspect artifact/binding/task</x:v>
      </x:c>
      <x:c r="L17" s="43" t="str">
        <x:v>Review metrics/queries for committed version missing preparation</x:v>
      </x:c>
      <x:c r="M17" s="43" t="str">
        <x:v>Crash gap khó quan sát</x:v>
      </x:c>
      <x:c r="N17" s="43" t="str">
        <x:v>Document read-only queries/metrics/alerts</x:v>
      </x:c>
      <x:c r="O17" s="43" t="str">
        <x:v>Runbook review and incident drill</x:v>
      </x:c>
      <x:c r="P17" s="43" t="str">
        <x:v>practice,ops,reconciler,observability</x:v>
      </x:c>
      <x:c r="Q17" s="43" t="str"/>
      <x:c r="R17" s="43" t="str"/>
      <x:c r="S17" s="43" t="str">
        <x:v>da350b5d</x:v>
      </x:c>
      <x:c r="T17" s="43" t="str">
        <x:v>Docs</x:v>
      </x:c>
      <x:c r="U17" s="43" t="str">
        <x:v>Aggregate-only output</x:v>
      </x:c>
      <x:c r="V17" s="43" t="str">
        <x:v>Create as Task</x:v>
      </x:c>
    </x:row>
    <x:row r="18" ht="66" customHeight="1">
      <x:c r="A18" s="43" t="str">
        <x:v>PRACTICE-OPS-002</x:v>
      </x:c>
      <x:c r="B18" s="43" t="str">
        <x:v>Task</x:v>
      </x:c>
      <x:c r="C18" s="43" t="str">
        <x:v>Runbook chưa khóa lease/backoff/max-attempt/cooldown/alert thresholds</x:v>
      </x:c>
      <x:c r="D18" s="43" t="str">
        <x:v>Practice Worker/Operations</x:v>
      </x:c>
      <x:c r="E18" s="43" t="str">
        <x:v>PRA-15F</x:v>
      </x:c>
      <x:c r="F18" s="43" t="str">
        <x:v>Medium</x:v>
      </x:c>
      <x:c r="G18" s="43" t="str">
        <x:v>High</x:v>
      </x:c>
      <x:c r="H18" s="43" t="str">
        <x:v>Documented Gap</x:v>
      </x:c>
      <x:c r="I18" s="43" t="str">
        <x:v>Backlog</x:v>
      </x:c>
      <x:c r="J18" s="43" t="str">
        <x:v>Numeric operational policy/version documented</x:v>
      </x:c>
      <x:c r="K18" s="43" t="str">
        <x:v>Current runbook chỉ mô tả semantics</x:v>
      </x:c>
      <x:c r="L18" s="43" t="str">
        <x:v>Compare deployed config and expected thresholds</x:v>
      </x:c>
      <x:c r="M18" s="43" t="str">
        <x:v>Operator response không nhất quán</x:v>
      </x:c>
      <x:c r="N18" s="43" t="str">
        <x:v>Approved defaults, overrides and alerts</x:v>
      </x:c>
      <x:c r="O18" s="43" t="str">
        <x:v>Config/runbook tests</x:v>
      </x:c>
      <x:c r="P18" s="43" t="str">
        <x:v>practice,ops,retry,thresholds</x:v>
      </x:c>
      <x:c r="Q18" s="43" t="str"/>
      <x:c r="R18" s="43" t="str"/>
      <x:c r="S18" s="43" t="str">
        <x:v>da350b5d</x:v>
      </x:c>
      <x:c r="T18" s="43" t="str">
        <x:v>Docs</x:v>
      </x:c>
      <x:c r="U18" s="43" t="str">
        <x:v>Do not expose secrets</x:v>
      </x:c>
      <x:c r="V18" s="43" t="str">
        <x:v>Create as Task</x:v>
      </x:c>
    </x:row>
    <x:row r="19" ht="66" customHeight="1">
      <x:c r="A19" s="43" t="str">
        <x:v>PRACTICE-DOC-001</x:v>
      </x:c>
      <x:c r="B19" s="43" t="str">
        <x:v>Documentation Task</x:v>
      </x:c>
      <x:c r="C19" s="43" t="str">
        <x:v>Đồng bộ lifecycle migration V28 so với V37</x:v>
      </x:c>
      <x:c r="D19" s="43" t="str">
        <x:v>Practice Docs/Test Data</x:v>
      </x:c>
      <x:c r="E19" s="43" t="str">
        <x:v>PRA-15A</x:v>
      </x:c>
      <x:c r="F19" s="43" t="str">
        <x:v>Medium</x:v>
      </x:c>
      <x:c r="G19" s="43" t="str">
        <x:v>High</x:v>
      </x:c>
      <x:c r="H19" s="43" t="str">
        <x:v>Confirmed Docs</x:v>
      </x:c>
      <x:c r="I19" s="43" t="str">
        <x:v>Backlog</x:v>
      </x:c>
      <x:c r="J19" s="43" t="str">
        <x:v>Current runbook và inventory dùng cùng current migration identity</x:v>
      </x:c>
      <x:c r="K19" s="43" t="str">
        <x:v>Runbook nói V28; current integration/inventory nói V37</x:v>
      </x:c>
      <x:c r="L19" s="43" t="str">
        <x:v>Compare current migration chain</x:v>
      </x:c>
      <x:c r="M19" s="43" t="str">
        <x:v>Ops có thể kiểm tra sai schema</x:v>
      </x:c>
      <x:c r="N19" s="43" t="str">
        <x:v>Update current runbook; preserve renumber history</x:v>
      </x:c>
      <x:c r="O19" s="43" t="str">
        <x:v>Docs review</x:v>
      </x:c>
      <x:c r="P19" s="43" t="str">
        <x:v>practice,docs-drift,migration</x:v>
      </x:c>
      <x:c r="Q19" s="43" t="str"/>
      <x:c r="R19" s="43" t="str"/>
      <x:c r="S19" s="43" t="str">
        <x:v>da350b5d</x:v>
      </x:c>
      <x:c r="T19" s="43" t="str">
        <x:v>Markdown</x:v>
      </x:c>
      <x:c r="U19" s="43" t="str">
        <x:v>N/A</x:v>
      </x:c>
      <x:c r="V19" s="43" t="str">
        <x:v>Create</x:v>
      </x:c>
    </x:row>
    <x:row r="20" ht="66" customHeight="1">
      <x:c r="A20" s="43" t="str">
        <x:v>PRACTICE-DOC-002</x:v>
      </x:c>
      <x:c r="B20" s="43" t="str">
        <x:v>Documentation Task</x:v>
      </x:c>
      <x:c r="C20" s="43" t="str">
        <x:v>Mark single-scope explanation-cache sections superseded</x:v>
      </x:c>
      <x:c r="D20" s="43" t="str">
        <x:v>Practice Docs/Test Data</x:v>
      </x:c>
      <x:c r="E20" s="43" t="str">
        <x:v>PRA-15A</x:v>
      </x:c>
      <x:c r="F20" s="43" t="str">
        <x:v>Medium</x:v>
      </x:c>
      <x:c r="G20" s="43" t="str">
        <x:v>High</x:v>
      </x:c>
      <x:c r="H20" s="43" t="str">
        <x:v>Confirmed Docs</x:v>
      </x:c>
      <x:c r="I20" s="43" t="str">
        <x:v>Backlog</x:v>
      </x:c>
      <x:c r="J20" s="43" t="str">
        <x:v>Historical docs cannot override 13D runtime contract</x:v>
      </x:c>
      <x:c r="K20" s="43" t="str">
        <x:v>Audit vẫn mô tả old cache/key/migrations</x:v>
      </x:c>
      <x:c r="L20" s="43" t="str">
        <x:v>Cross-link current contract</x:v>
      </x:c>
      <x:c r="M20" s="43" t="str">
        <x:v>Implementation confusion</x:v>
      </x:c>
      <x:c r="N20" s="43" t="str">
        <x:v>Explicit superseded banner and links</x:v>
      </x:c>
      <x:c r="O20" s="43" t="str">
        <x:v>Docs review</x:v>
      </x:c>
      <x:c r="P20" s="43" t="str">
        <x:v>practice,docs-drift,phase-15</x:v>
      </x:c>
      <x:c r="Q20" s="43" t="str"/>
      <x:c r="R20" s="43" t="str"/>
      <x:c r="S20" s="43" t="str">
        <x:v>da350b5d</x:v>
      </x:c>
      <x:c r="T20" s="43" t="str">
        <x:v>Markdown</x:v>
      </x:c>
      <x:c r="U20" s="43" t="str">
        <x:v>N/A</x:v>
      </x:c>
      <x:c r="V20" s="43" t="str">
        <x:v>Create</x:v>
      </x:c>
    </x:row>
    <x:row r="21" ht="66" customHeight="1">
      <x:c r="A21" s="43" t="str">
        <x:v>PRACTICE-DOC-003</x:v>
      </x:c>
      <x:c r="B21" s="43" t="str">
        <x:v>Documentation Task</x:v>
      </x:c>
      <x:c r="C21" s="43" t="str">
        <x:v>Reclassify walkthrough as historical snapshot</x:v>
      </x:c>
      <x:c r="D21" s="43" t="str">
        <x:v>Practice Docs/Test Data</x:v>
      </x:c>
      <x:c r="E21" s="43" t="str">
        <x:v>PRA-15A</x:v>
      </x:c>
      <x:c r="F21" s="43" t="str">
        <x:v>Low</x:v>
      </x:c>
      <x:c r="G21" s="43" t="str">
        <x:v>Medium</x:v>
      </x:c>
      <x:c r="H21" s="43" t="str">
        <x:v>Confirmed Docs</x:v>
      </x:c>
      <x:c r="I21" s="43" t="str">
        <x:v>Backlog</x:v>
      </x:c>
      <x:c r="J21" s="43" t="str">
        <x:v>Current docs distinguish runtime vs history</x:v>
      </x:c>
      <x:c r="K21" s="43" t="str">
        <x:v>walkthrough claims comprehensive but contains retired paths</x:v>
      </x:c>
      <x:c r="L21" s="43" t="str">
        <x:v>Review title/banner/cross-links</x:v>
      </x:c>
      <x:c r="M21" s="43" t="str">
        <x:v>False source of truth</x:v>
      </x:c>
      <x:c r="N21" s="43" t="str">
        <x:v>Historical label and current source links</x:v>
      </x:c>
      <x:c r="O21" s="43" t="str">
        <x:v>Docs review</x:v>
      </x:c>
      <x:c r="P21" s="43" t="str">
        <x:v>practice,docs-drift</x:v>
      </x:c>
      <x:c r="Q21" s="43" t="str"/>
      <x:c r="R21" s="43" t="str"/>
      <x:c r="S21" s="43" t="str">
        <x:v>da350b5d</x:v>
      </x:c>
      <x:c r="T21" s="43" t="str">
        <x:v>Markdown</x:v>
      </x:c>
      <x:c r="U21" s="43" t="str">
        <x:v>N/A</x:v>
      </x:c>
      <x:c r="V21" s="43" t="str">
        <x:v>Create</x:v>
      </x:c>
    </x:row>
    <x:row r="22" ht="66" customHeight="1">
      <x:c r="A22" s="43" t="str">
        <x:v>PRACTICE-DOC-004</x:v>
      </x:c>
      <x:c r="B22" s="43" t="str">
        <x:v>Documentation Task</x:v>
      </x:c>
      <x:c r="C22" s="43" t="str">
        <x:v>Clarify README is not KSH runtime/product contract</x:v>
      </x:c>
      <x:c r="D22" s="43" t="str">
        <x:v>Practice Docs/Test Data</x:v>
      </x:c>
      <x:c r="E22" s="43" t="str">
        <x:v>PRA-15A</x:v>
      </x:c>
      <x:c r="F22" s="43" t="str">
        <x:v>Low</x:v>
      </x:c>
      <x:c r="G22" s="43" t="str">
        <x:v>Medium</x:v>
      </x:c>
      <x:c r="H22" s="43" t="str">
        <x:v>Confirmed Docs</x:v>
      </x:c>
      <x:c r="I22" s="43" t="str">
        <x:v>Backlog</x:v>
      </x:c>
      <x:c r="J22" s="43" t="str">
        <x:v>Repository README points to canonical practice docs</x:v>
      </x:c>
      <x:c r="K22" s="43" t="str">
        <x:v>README describes harness rather than current app contract</x:v>
      </x:c>
      <x:c r="L22" s="43" t="str">
        <x:v>Review intended README ownership</x:v>
      </x:c>
      <x:c r="M22" s="43" t="str">
        <x:v>Onboarding confusion</x:v>
      </x:c>
      <x:c r="N22" s="43" t="str">
        <x:v>Add scope and source-of-truth links</x:v>
      </x:c>
      <x:c r="O22" s="43" t="str">
        <x:v>Docs review</x:v>
      </x:c>
      <x:c r="P22" s="43" t="str">
        <x:v>practice,docs-drift</x:v>
      </x:c>
      <x:c r="Q22" s="43" t="str"/>
      <x:c r="R22" s="43" t="str"/>
      <x:c r="S22" s="43" t="str">
        <x:v>da350b5d</x:v>
      </x:c>
      <x:c r="T22" s="43" t="str">
        <x:v>Markdown</x:v>
      </x:c>
      <x:c r="U22" s="43" t="str">
        <x:v>N/A</x:v>
      </x:c>
      <x:c r="V22" s="43" t="str">
        <x:v>Create</x:v>
      </x:c>
    </x:row>
    <x:row r="23" ht="66" customHeight="1">
      <x:c r="A23" s="43" t="str">
        <x:v>PRACTICE-DOC-005</x:v>
      </x:c>
      <x:c r="B23" s="43" t="str">
        <x:v>Documentation Task</x:v>
      </x:c>
      <x:c r="C23" s="43" t="str">
        <x:v>Cross-link research checkpoint to new Phase 13D scope</x:v>
      </x:c>
      <x:c r="D23" s="43" t="str">
        <x:v>Practice Docs/Test Data</x:v>
      </x:c>
      <x:c r="E23" s="43" t="str">
        <x:v>PRA-15A</x:v>
      </x:c>
      <x:c r="F23" s="43" t="str">
        <x:v>Low</x:v>
      </x:c>
      <x:c r="G23" s="43" t="str">
        <x:v>Medium</x:v>
      </x:c>
      <x:c r="H23" s="43" t="str">
        <x:v>Confirmed Docs</x:v>
      </x:c>
      <x:c r="I23" s="43" t="str">
        <x:v>Backlog</x:v>
      </x:c>
      <x:c r="J23" s="43" t="str">
        <x:v>Research clearly non-authoritative and superseded where needed</x:v>
      </x:c>
      <x:c r="K23" s="43" t="str">
        <x:v>Checkpoint labels 13D as player shell/old flow</x:v>
      </x:c>
      <x:c r="L23" s="43" t="str">
        <x:v>Review research annotations</x:v>
      </x:c>
      <x:c r="M23" s="43" t="str">
        <x:v>Scope confusion</x:v>
      </x:c>
      <x:c r="N23" s="43" t="str">
        <x:v>Add dated superseded mapping</x:v>
      </x:c>
      <x:c r="O23" s="43" t="str">
        <x:v>Docs review</x:v>
      </x:c>
      <x:c r="P23" s="43" t="str">
        <x:v>practice,docs-drift,research</x:v>
      </x:c>
      <x:c r="Q23" s="43" t="str"/>
      <x:c r="R23" s="43" t="str"/>
      <x:c r="S23" s="43" t="str">
        <x:v>da350b5d</x:v>
      </x:c>
      <x:c r="T23" s="43" t="str">
        <x:v>Markdown</x:v>
      </x:c>
      <x:c r="U23" s="43" t="str">
        <x:v>N/A</x:v>
      </x:c>
      <x:c r="V23" s="43" t="str">
        <x:v>Create</x:v>
      </x:c>
    </x:row>
    <x:row r="24" ht="66" customHeight="1">
      <x:c r="A24" s="43" t="str">
        <x:v>PRACTICE-DOC-006</x:v>
      </x:c>
      <x:c r="B24" s="43" t="str">
        <x:v>Decision Task</x:v>
      </x:c>
      <x:c r="C24" s="43" t="str">
        <x:v>Khóa thuật ngữ Skill so với Section</x:v>
      </x:c>
      <x:c r="D24" s="43" t="str">
        <x:v>Practice Program</x:v>
      </x:c>
      <x:c r="E24" s="43" t="str">
        <x:v>PRA-15B</x:v>
      </x:c>
      <x:c r="F24" s="43" t="str">
        <x:v>Medium</x:v>
      </x:c>
      <x:c r="G24" s="43" t="str">
        <x:v>High</x:v>
      </x:c>
      <x:c r="H24" s="43" t="str">
        <x:v>Confirmed Docs</x:v>
      </x:c>
      <x:c r="I24" s="43" t="str">
        <x:v>Backlog</x:v>
      </x:c>
      <x:c r="J24" s="43" t="str">
        <x:v>One canonical hierarchy vocabulary before premium seed</x:v>
      </x:c>
      <x:c r="K24" s="43" t="str">
        <x:v>Docs alternate Skill/Section</x:v>
      </x:c>
      <x:c r="L24" s="43" t="str">
        <x:v>Resolve domain/UI/persistence terms</x:v>
      </x:c>
      <x:c r="M24" s="43" t="str">
        <x:v>Seed/import/Jira ambiguity</x:v>
      </x:c>
      <x:c r="N24" s="43" t="str">
        <x:v>Decision record and terminology matrix</x:v>
      </x:c>
      <x:c r="O24" s="43" t="str">
        <x:v>Docs/seed review</x:v>
      </x:c>
      <x:c r="P24" s="43" t="str">
        <x:v>practice,domain-contract</x:v>
      </x:c>
      <x:c r="Q24" s="43" t="str"/>
      <x:c r="R24" s="43" t="str"/>
      <x:c r="S24" s="43" t="str">
        <x:v>da350b5d</x:v>
      </x:c>
      <x:c r="T24" s="43" t="str">
        <x:v>Markdown</x:v>
      </x:c>
      <x:c r="U24" s="43" t="str">
        <x:v>N/A</x:v>
      </x:c>
      <x:c r="V24" s="43" t="str">
        <x:v>Create</x:v>
      </x:c>
    </x:row>
    <x:row r="25" ht="66" customHeight="1">
      <x:c r="A25" s="43" t="str">
        <x:v>PRACTICE-DOC-007</x:v>
      </x:c>
      <x:c r="B25" s="43" t="str">
        <x:v>Decision Task</x:v>
      </x:c>
      <x:c r="C25" s="43" t="str">
        <x:v>Giải quyết combined full-test flow so với per-skill attempt</x:v>
      </x:c>
      <x:c r="D25" s="43" t="str">
        <x:v>Practice Program</x:v>
      </x:c>
      <x:c r="E25" s="43" t="str">
        <x:v>PRA-15G</x:v>
      </x:c>
      <x:c r="F25" s="43" t="str">
        <x:v>Medium</x:v>
      </x:c>
      <x:c r="G25" s="43" t="str">
        <x:v>High</x:v>
      </x:c>
      <x:c r="H25" s="43" t="str">
        <x:v>Confirmed Docs</x:v>
      </x:c>
      <x:c r="I25" s="43" t="str">
        <x:v>Backlog</x:v>
      </x:c>
      <x:c r="J25" s="43" t="str">
        <x:v>Product policy explicit before new feature work</x:v>
      </x:c>
      <x:c r="K25" s="43" t="str">
        <x:v>Blueprint/history conflict with current per-skill contract</x:v>
      </x:c>
      <x:c r="L25" s="43" t="str">
        <x:v>Product/architecture decision</x:v>
      </x:c>
      <x:c r="M25" s="43" t="str">
        <x:v>Could create wrong attempt/session model</x:v>
      </x:c>
      <x:c r="N25" s="43" t="str">
        <x:v>Decision record; no implementation until GO</x:v>
      </x:c>
      <x:c r="O25" s="43" t="str">
        <x:v>RFC review</x:v>
      </x:c>
      <x:c r="P25" s="43" t="str">
        <x:v>practice,product-decision</x:v>
      </x:c>
      <x:c r="Q25" s="43" t="str"/>
      <x:c r="R25" s="43" t="str"/>
      <x:c r="S25" s="43" t="str">
        <x:v>da350b5d</x:v>
      </x:c>
      <x:c r="T25" s="43" t="str">
        <x:v>Markdown</x:v>
      </x:c>
      <x:c r="U25" s="43" t="str">
        <x:v>N/A</x:v>
      </x:c>
      <x:c r="V25" s="43" t="str">
        <x:v>Create</x:v>
      </x:c>
    </x:row>
  </x:sheetData>
  <x:mergeCells>
    <x:mergeCell ref="A1:V1"/>
    <x:mergeCell ref="A2:V2"/>
  </x:mergeCells>
  <x:conditionalFormatting sqref="I5:I25">
    <x:cfRule type="containsText" dxfId="14" priority="1" operator="containsText" text="Done"/>
    <x:cfRule type="containsText" dxfId="15" priority="2" operator="containsText" text="Ready for Validation"/>
    <x:cfRule type="containsText" dxfId="16" priority="3" operator="containsText" text="Needs Evidence"/>
    <x:cfRule type="containsText" dxfId="17" priority="4" operator="containsText" text="Blocked"/>
    <x:cfRule type="containsText" dxfId="18" priority="5" operator="containsText" text="Icebox"/>
    <x:cfRule type="containsText" dxfId="19" priority="6" operator="containsText" text="Backlog"/>
  </x:conditionalFormatting>
  <x:conditionalFormatting sqref="F5:F25">
    <x:cfRule type="containsText" dxfId="20" priority="7" operator="containsText" text="High"/>
  </x:conditionalFormatting>
  <x:conditionalFormatting sqref="G5:G25">
    <x:cfRule type="containsText" dxfId="21" priority="8" operator="containsText" text="Highest"/>
  </x:conditionalFormatting>
  <x:dataValidations count="3">
    <x:dataValidation type="list" sqref="F5:F25">
      <x:formula1>"Critical,High,Medium,Low,Informational"</x:formula1>
    </x:dataValidation>
    <x:dataValidation type="list" sqref="G5:G25">
      <x:formula1>"Highest,High,Medium,Low,Lowest"</x:formula1>
    </x:dataValidation>
    <x:dataValidation type="list" sqref="I5:I25">
      <x:formula1>"New,Triage,Needs Evidence,Ready,Ready for Validation,In Progress,Blocked,Backlog,Done,Duplicate,Rejected"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69be822c5945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20" hidden="0" customWidth="1"/>
    <x:col min="5" max="5" width="46" hidden="0" customWidth="1"/>
    <x:col min="6" max="6" width="46" hidden="0" customWidth="1"/>
    <x:col min="7" max="7" width="16" hidden="0" customWidth="1"/>
    <x:col min="8" max="8" width="22" hidden="0" customWidth="1"/>
    <x:col min="9" max="9" width="14" hidden="0" customWidth="1"/>
    <x:col min="10" max="10" width="36" hidden="0" customWidth="1"/>
  </x:cols>
  <x:sheetData>
    <x:row r="1" ht="30" customHeight="1">
      <x:c r="A1" s="3" t="str">
        <x:v>Phase 15 Compatibility Cleanup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Inventory is not authorization to delete. Resolve each item only after environment/data-retention proof and required replacement surfaces.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34" t="str">
        <x:v>Inventory ID</x:v>
      </x:c>
      <x:c r="B4" s="35" t="str">
        <x:v>Classification</x:v>
      </x:c>
      <x:c r="C4" s="35" t="str">
        <x:v>Current Evidence / Concern</x:v>
      </x:c>
      <x:c r="D4" s="35" t="str">
        <x:v>Recommended Jira Type</x:v>
      </x:c>
      <x:c r="E4" s="35" t="str">
        <x:v>Phase 15 Action</x:v>
      </x:c>
      <x:c r="F4" s="35" t="str">
        <x:v>Acceptance Proof</x:v>
      </x:c>
      <x:c r="G4" s="35" t="str">
        <x:v>Owner</x:v>
      </x:c>
      <x:c r="H4" s="35" t="str">
        <x:v>Decision</x:v>
      </x:c>
      <x:c r="I4" s="35" t="str">
        <x:v>Jira Key</x:v>
      </x:c>
      <x:c r="J4" s="36" t="str">
        <x:v>Notes</x:v>
      </x:c>
    </x:row>
    <x:row r="5" ht="60" customHeight="1">
      <x:c r="A5" s="42" t="str">
        <x:v>P15-COMP-01</x:v>
      </x:c>
      <x:c r="B5" s="42" t="str">
        <x:v>REVIEW_REQUIRED</x:v>
      </x:c>
      <x:c r="C5" s="42" t="str">
        <x:v>Historical non-ESSAY Writing local scoring</x:v>
      </x:c>
      <x:c r="D5" s="42" t="str">
        <x:v>Task</x:v>
      </x:c>
      <x:c r="E5" s="42" t="str">
        <x:v>Review retained attempts; remove only after data decision</x:v>
      </x:c>
      <x:c r="F5" s="42" t="str">
        <x:v>Every Writing version in fresh DB is Q51-Q54 ESSAY; no local objective branch</x:v>
      </x:c>
      <x:c r="G5" s="42" t="str"/>
      <x:c r="H5" s="42" t="str"/>
      <x:c r="I5" s="42" t="str"/>
      <x:c r="J5" s="42" t="str"/>
    </x:row>
    <x:row r="6" ht="60" customHeight="1">
      <x:c r="A6" s="43" t="str">
        <x:v>P15-COMP-02</x:v>
      </x:c>
      <x:c r="B6" s="43" t="str">
        <x:v>REVIEW_REQUIRED</x:v>
      </x:c>
      <x:c r="C6" s="43" t="str">
        <x:v>Non-Writing ESSAY enters Writing evaluator</x:v>
      </x:c>
      <x:c r="D6" s="43" t="str">
        <x:v>Task</x:v>
      </x:c>
      <x:c r="E6" s="43" t="str">
        <x:v>Remove after canonical Speaking/data review</x:v>
      </x:c>
      <x:c r="F6" s="43" t="str">
        <x:v>Non-Writing submit has no Writing evaluator path</x:v>
      </x:c>
      <x:c r="G6" s="43" t="str"/>
      <x:c r="H6" s="43" t="str"/>
      <x:c r="I6" s="43" t="str"/>
      <x:c r="J6" s="43" t="str"/>
    </x:row>
    <x:row r="7" ht="60" customHeight="1">
      <x:c r="A7" s="43" t="str">
        <x:v>P15-COMP-03</x:v>
      </x:c>
      <x:c r="B7" s="43" t="str">
        <x:v>REVIEW_REQUIRED</x:v>
      </x:c>
      <x:c r="C7" s="43" t="str">
        <x:v>speaking_mixed_v1 and essay_feedback_by_question</x:v>
      </x:c>
      <x:c r="D7" s="43" t="str">
        <x:v>Task</x:v>
      </x:c>
      <x:c r="E7" s="43" t="str">
        <x:v>Migrate/remove mixed feedback after retained-attempt review</x:v>
      </x:c>
      <x:c r="F7" s="43" t="str">
        <x:v>Speaking persistence/result contains only canonical Speaking feedback</x:v>
      </x:c>
      <x:c r="G7" s="43" t="str"/>
      <x:c r="H7" s="43" t="str"/>
      <x:c r="I7" s="43" t="str"/>
      <x:c r="J7" s="43" t="str"/>
    </x:row>
    <x:row r="8" ht="60" customHeight="1">
      <x:c r="A8" s="43" t="str">
        <x:v>P15-COMP-04</x:v>
      </x:c>
      <x:c r="B8" s="43" t="str">
        <x:v>REVIEW_REQUIRED</x:v>
      </x:c>
      <x:c r="C8" s="43" t="str">
        <x:v>Legacy feedback readers and statuses</x:v>
      </x:c>
      <x:c r="D8" s="43" t="str">
        <x:v>Task</x:v>
      </x:c>
      <x:c r="E8" s="43" t="str">
        <x:v>Inventory current payloads; remove only unused branches</x:v>
      </x:c>
      <x:c r="F8" s="43" t="str">
        <x:v>Current provider fixtures parse; removed statuses have no refs</x:v>
      </x:c>
      <x:c r="G8" s="43" t="str"/>
      <x:c r="H8" s="43" t="str"/>
      <x:c r="I8" s="43" t="str"/>
      <x:c r="J8" s="43" t="str"/>
    </x:row>
    <x:row r="9" ht="60" customHeight="1">
      <x:c r="A9" s="43" t="str">
        <x:v>P15-COMP-05</x:v>
      </x:c>
      <x:c r="B9" s="43" t="str">
        <x:v>REVIEW_REQUIRED</x:v>
      </x:c>
      <x:c r="C9" s="43" t="str">
        <x:v>No-version attempt fallback to live graph</x:v>
      </x:c>
      <x:c r="D9" s="43" t="str">
        <x:v>Task</x:v>
      </x:c>
      <x:c r="E9" s="43" t="str">
        <x:v>Migrate/reset; fail closed or explicit unavailable history</x:v>
      </x:c>
      <x:c r="F9" s="43" t="str">
        <x:v>Progress/result never query live questions for an attempt</x:v>
      </x:c>
      <x:c r="G9" s="43" t="str"/>
      <x:c r="H9" s="43" t="str"/>
      <x:c r="I9" s="43" t="str"/>
      <x:c r="J9" s="43" t="str"/>
    </x:row>
    <x:row r="10" ht="60" customHeight="1">
      <x:c r="A10" s="43" t="str">
        <x:v>P15-COMP-06</x:v>
      </x:c>
      <x:c r="B10" s="43" t="str">
        <x:v>REVIEW_REQUIRED</x:v>
      </x:c>
      <x:c r="C10" s="43" t="str">
        <x:v>Ungrouped/synthetic/orphan group compatibility</x:v>
      </x:c>
      <x:c r="D10" s="43" t="str">
        <x:v>Task</x:v>
      </x:c>
      <x:c r="E10" s="43" t="str">
        <x:v>Canonicalize seed/import and remove unsupported fallback</x:v>
      </x:c>
      <x:c r="F10" s="43" t="str">
        <x:v>Fresh publication has no orphan question version</x:v>
      </x:c>
      <x:c r="G10" s="43" t="str"/>
      <x:c r="H10" s="43" t="str"/>
      <x:c r="I10" s="43" t="str"/>
      <x:c r="J10" s="43" t="str"/>
    </x:row>
    <x:row r="11" ht="60" customHeight="1">
      <x:c r="A11" s="43" t="str">
        <x:v>P15-COMP-07</x:v>
      </x:c>
      <x:c r="B11" s="43" t="str">
        <x:v>REVIEW_REQUIRED</x:v>
      </x:c>
      <x:c r="C11" s="43" t="str">
        <x:v>Legacy route redirects</x:v>
      </x:c>
      <x:c r="D11" s="43" t="str">
        <x:v>Task</x:v>
      </x:c>
      <x:c r="E11" s="43" t="str">
        <x:v>Inventory callers; retain documented window or remove</x:v>
      </x:c>
      <x:c r="F11" s="43" t="str">
        <x:v>Every old route absent or one documented redirect</x:v>
      </x:c>
      <x:c r="G11" s="43" t="str"/>
      <x:c r="H11" s="43" t="str"/>
      <x:c r="I11" s="43" t="str"/>
      <x:c r="J11" s="43" t="str"/>
    </x:row>
    <x:row r="12" ht="60" customHeight="1">
      <x:c r="A12" s="43" t="str">
        <x:v>P15-COMP-08</x:v>
      </x:c>
      <x:c r="B12" s="43" t="str">
        <x:v>REVIEW_REQUIRED</x:v>
      </x:c>
      <x:c r="C12" s="43" t="str">
        <x:v>Question type aliases</x:v>
      </x:c>
      <x:c r="D12" s="43" t="str">
        <x:v>Task</x:v>
      </x:c>
      <x:c r="E12" s="43" t="str">
        <x:v>Normalize fixtures and shrink runtime aliases</x:v>
      </x:c>
      <x:c r="F12" s="43" t="str">
        <x:v>Persisted types canonical; templates no removed alias branches</x:v>
      </x:c>
      <x:c r="G12" s="43" t="str"/>
      <x:c r="H12" s="43" t="str"/>
      <x:c r="I12" s="43" t="str"/>
      <x:c r="J12" s="43" t="str"/>
    </x:row>
    <x:row r="13" ht="60" customHeight="1">
      <x:c r="A13" s="43" t="str">
        <x:v>P15-COMP-09</x:v>
      </x:c>
      <x:c r="B13" s="43" t="str">
        <x:v>REVIEW_REQUIRED</x:v>
      </x:c>
      <x:c r="C13" s="43" t="str">
        <x:v>Excel v1/v2 duplicate answer fields</x:v>
      </x:c>
      <x:c r="D13" s="43" t="str">
        <x:v>Task</x:v>
      </x:c>
      <x:c r="E13" s="43" t="str">
        <x:v>Decide support window and one canonical schema</x:v>
      </x:c>
      <x:c r="F13" s="43" t="str">
        <x:v>One versioned Excel schema round-trips canonical fields</x:v>
      </x:c>
      <x:c r="G13" s="43" t="str"/>
      <x:c r="H13" s="43" t="str"/>
      <x:c r="I13" s="43" t="str"/>
      <x:c r="J13" s="43" t="str"/>
    </x:row>
    <x:row r="14" ht="60" customHeight="1">
      <x:c r="A14" s="43" t="str">
        <x:v>P15-COMP-10</x:v>
      </x:c>
      <x:c r="B14" s="43" t="str">
        <x:v>REVIEW_REQUIRED</x:v>
      </x:c>
      <x:c r="C14" s="43" t="str">
        <x:v>Legacy result detail DTO/service/templates</x:v>
      </x:c>
      <x:c r="D14" s="43" t="str">
        <x:v>Task</x:v>
      </x:c>
      <x:c r="E14" s="43" t="str">
        <x:v>Wait for 13E replacement, then delete as one cluster</x:v>
      </x:c>
      <x:c r="F14" s="43" t="str">
        <x:v>Detail route uses only 13E contract</x:v>
      </x:c>
      <x:c r="G14" s="43" t="str"/>
      <x:c r="H14" s="43" t="str"/>
      <x:c r="I14" s="43" t="str"/>
      <x:c r="J14" s="43" t="str"/>
    </x:row>
    <x:row r="15" ht="60" customHeight="1">
      <x:c r="A15" s="43" t="str">
        <x:v>P15-COMP-11</x:v>
      </x:c>
      <x:c r="B15" s="43" t="str">
        <x:v>REMOVE_CANDIDATE_CONFIRMED</x:v>
      </x:c>
      <x:c r="C15" s="43" t="str">
        <x:v>Dead static/js/practice.js pinned by test</x:v>
      </x:c>
      <x:c r="D15" s="43" t="str">
        <x:v>Task</x:v>
      </x:c>
      <x:c r="E15" s="43" t="str">
        <x:v>Final reference scan then remove asset/tests</x:v>
      </x:c>
      <x:c r="F15" s="43" t="str">
        <x:v>No template/resource/controller reference</x:v>
      </x:c>
      <x:c r="G15" s="43" t="str"/>
      <x:c r="H15" s="43" t="str"/>
      <x:c r="I15" s="43" t="str"/>
      <x:c r="J15" s="43" t="str"/>
    </x:row>
    <x:row r="16" ht="60" customHeight="1">
      <x:c r="A16" s="43" t="str">
        <x:v>P15-COMP-12</x:v>
      </x:c>
      <x:c r="B16" s="43" t="str">
        <x:v>REVIEW_REQUIRED</x:v>
      </x:c>
      <x:c r="C16" s="43" t="str">
        <x:v>Legacy compatibility test fixtures</x:v>
      </x:c>
      <x:c r="D16" s="43" t="str">
        <x:v>Task</x:v>
      </x:c>
      <x:c r="E16" s="43" t="str">
        <x:v>Classify current/migration/obsolete</x:v>
      </x:c>
      <x:c r="F16" s="43" t="str">
        <x:v>Fixtures describe canonical runtime or explicit migration boundary</x:v>
      </x:c>
      <x:c r="G16" s="43" t="str"/>
      <x:c r="H16" s="43" t="str"/>
      <x:c r="I16" s="43" t="str"/>
      <x:c r="J16" s="43" t="str"/>
    </x:row>
    <x:row r="17" ht="60" customHeight="1">
      <x:c r="A17" s="43" t="str">
        <x:v>P15-COMP-13</x:v>
      </x:c>
      <x:c r="B17" s="43" t="str">
        <x:v>REVIEW_REQUIRED</x:v>
      </x:c>
      <x:c r="C17" s="43" t="str">
        <x:v>Migration and development seed history</x:v>
      </x:c>
      <x:c r="D17" s="43" t="str">
        <x:v>Task</x:v>
      </x:c>
      <x:c r="E17" s="43" t="str">
        <x:v>Prove deployment obligations; keep chain or reviewed squash</x:v>
      </x:c>
      <x:c r="F17" s="43" t="str">
        <x:v>Fresh and representative upgrade outcomes recorded</x:v>
      </x:c>
      <x:c r="G17" s="43" t="str"/>
      <x:c r="H17" s="43" t="str"/>
      <x:c r="I17" s="43" t="str"/>
      <x:c r="J17" s="43" t="str"/>
    </x:row>
    <x:row r="18" ht="60" customHeight="1">
      <x:c r="A18" s="43" t="str">
        <x:v>P15-COMP-14</x:v>
      </x:c>
      <x:c r="B18" s="43" t="str">
        <x:v>REVIEW_REQUIRED</x:v>
      </x:c>
      <x:c r="C18" s="43" t="str">
        <x:v>Current and historical docs mix retired paths</x:v>
      </x:c>
      <x:c r="D18" s="43" t="str">
        <x:v>Task</x:v>
      </x:c>
      <x:c r="E18" s="43" t="str">
        <x:v>Correct current specs; label archival docs</x:v>
      </x:c>
      <x:c r="F18" s="43" t="str">
        <x:v>Current specs match runtime; history clearly dated</x:v>
      </x:c>
      <x:c r="G18" s="43" t="str"/>
      <x:c r="H18" s="43" t="str"/>
      <x:c r="I18" s="43" t="str"/>
      <x:c r="J18" s="43" t="str"/>
    </x:row>
    <x:row r="19" ht="60" customHeight="1">
      <x:c r="A19" s="43" t="str">
        <x:v>P15-COMP-15</x:v>
      </x:c>
      <x:c r="B19" s="43" t="str">
        <x:v>REVIEW_REQUIRED</x:v>
      </x:c>
      <x:c r="C19" s="43" t="str">
        <x:v>Ad-hoc local attempts/fixtures</x:v>
      </x:c>
      <x:c r="D19" s="43" t="str">
        <x:v>Task</x:v>
      </x:c>
      <x:c r="E19" s="43" t="str">
        <x:v>Export evidence if needed; reset dedicated UAT DB</x:v>
      </x:c>
      <x:c r="F19" s="43" t="str">
        <x:v>UAT starts from clean deterministic seed</x:v>
      </x:c>
      <x:c r="G19" s="43" t="str"/>
      <x:c r="H19" s="43" t="str"/>
      <x:c r="I19" s="43" t="str"/>
      <x:c r="J19" s="43" t="str"/>
    </x:row>
    <x:row r="20" ht="60" customHeight="1">
      <x:c r="A20" s="43" t="str">
        <x:v>P15-KEEP-01</x:v>
      </x:c>
      <x:c r="B20" s="43" t="str">
        <x:v>KEEP</x:v>
      </x:c>
      <x:c r="C20" s="43" t="str">
        <x:v>Immutable published graph and old-attempt isolation</x:v>
      </x:c>
      <x:c r="D20" s="43" t="str">
        <x:v>Architecture</x:v>
      </x:c>
      <x:c r="E20" s="43" t="str">
        <x:v>Preserve</x:v>
      </x:c>
      <x:c r="F20" s="43" t="str">
        <x:v>Cleanup never makes attempt read newest live content</x:v>
      </x:c>
      <x:c r="G20" s="43" t="str"/>
      <x:c r="H20" s="43" t="str"/>
      <x:c r="I20" s="43" t="str"/>
      <x:c r="J20" s="43" t="str"/>
    </x:row>
    <x:row r="21" ht="60" customHeight="1">
      <x:c r="A21" s="43" t="str">
        <x:v>P15-KEEP-02</x:v>
      </x:c>
      <x:c r="B21" s="43" t="str">
        <x:v>KEEP</x:v>
      </x:c>
      <x:c r="C21" s="43" t="str">
        <x:v>Canonical assessment codec/type validation/scoring</x:v>
      </x:c>
      <x:c r="D21" s="43" t="str">
        <x:v>Architecture</x:v>
      </x:c>
      <x:c r="E21" s="43" t="str">
        <x:v>Preserve</x:v>
      </x:c>
      <x:c r="F21" s="43" t="str">
        <x:v>Only obsolete aliases/adapters removed</x:v>
      </x:c>
      <x:c r="G21" s="43" t="str"/>
      <x:c r="H21" s="43" t="str"/>
      <x:c r="I21" s="43" t="str"/>
      <x:c r="J21" s="43" t="str"/>
    </x:row>
    <x:row r="22" ht="60" customHeight="1">
      <x:c r="A22" s="43" t="str">
        <x:v>P15-KEEP-03</x:v>
      </x:c>
      <x:c r="B22" s="43" t="str">
        <x:v>KEEP</x:v>
      </x:c>
      <x:c r="C22" s="43" t="str">
        <x:v>Current provider response normalization</x:v>
      </x:c>
      <x:c r="D22" s="43" t="str">
        <x:v>Architecture</x:v>
      </x:c>
      <x:c r="E22" s="43" t="str">
        <x:v>Preserve</x:v>
      </x:c>
      <x:c r="F22" s="43" t="str">
        <x:v>Live provider payload compatibility retained</x:v>
      </x:c>
      <x:c r="G22" s="43" t="str"/>
      <x:c r="H22" s="43" t="str"/>
      <x:c r="I22" s="43" t="str"/>
      <x:c r="J22" s="43" t="str"/>
    </x:row>
    <x:row r="23" ht="60" customHeight="1">
      <x:c r="A23" s="43" t="str">
        <x:v>P15-KEEP-04</x:v>
      </x:c>
      <x:c r="B23" s="43" t="str">
        <x:v>KEEP</x:v>
      </x:c>
      <x:c r="C23" s="43" t="str">
        <x:v>Material ownership/private lifecycle/security</x:v>
      </x:c>
      <x:c r="D23" s="43" t="str">
        <x:v>Architecture</x:v>
      </x:c>
      <x:c r="E23" s="43" t="str">
        <x:v>Preserve</x:v>
      </x:c>
      <x:c r="F23" s="43" t="str">
        <x:v>Cleanup never weakens access/audit</x:v>
      </x:c>
      <x:c r="G23" s="43" t="str"/>
      <x:c r="H23" s="43" t="str"/>
      <x:c r="I23" s="43" t="str"/>
      <x:c r="J23" s="43" t="str"/>
    </x:row>
    <x:row r="24" ht="60" customHeight="1">
      <x:c r="A24" s="43" t="str">
        <x:v>P15-KEEP-05</x:v>
      </x:c>
      <x:c r="B24" s="43" t="str">
        <x:v>KEEP</x:v>
      </x:c>
      <x:c r="C24" s="43" t="str">
        <x:v>13D artifact/binding/task/retry/reconciliation</x:v>
      </x:c>
      <x:c r="D24" s="43" t="str">
        <x:v>Architecture</x:v>
      </x:c>
      <x:c r="E24" s="43" t="str">
        <x:v>Preserve</x:v>
      </x:c>
      <x:c r="F24" s="43" t="str">
        <x:v>Result lifecycle remains immutable/read-only</x:v>
      </x:c>
      <x:c r="G24" s="43" t="str"/>
      <x:c r="H24" s="43" t="str"/>
      <x:c r="I24" s="43" t="str"/>
      <x:c r="J24" s="43" t="str"/>
    </x:row>
    <x:row r="25" ht="60" customHeight="1">
      <x:c r="A25" s="43" t="str">
        <x:v>P15-KEEP-06</x:v>
      </x:c>
      <x:c r="B25" s="43" t="str">
        <x:v>KEEP</x:v>
      </x:c>
      <x:c r="C25" s="43" t="str">
        <x:v>Legacy detail route until 13E replacement</x:v>
      </x:c>
      <x:c r="D25" s="43" t="str">
        <x:v>Architecture</x:v>
      </x:c>
      <x:c r="E25" s="43" t="str">
        <x:v>Temporarily preserve</x:v>
      </x:c>
      <x:c r="F25" s="43" t="str">
        <x:v>Remove only after equivalent 13E evidence verified</x:v>
      </x:c>
      <x:c r="G25" s="43" t="str"/>
      <x:c r="H25" s="43" t="str"/>
      <x:c r="I25" s="43" t="str"/>
      <x:c r="J25" s="43" t="str"/>
    </x:row>
  </x:sheetData>
  <x:mergeCells>
    <x:mergeCell ref="A1:J1"/>
    <x:mergeCell ref="A2:J2"/>
  </x:mergeCells>
  <x:conditionalFormatting sqref="B5:B25">
    <x:cfRule type="containsText" dxfId="22" priority="1" operator="containsText" text="KEEP"/>
    <x:cfRule type="containsText" dxfId="23" priority="2" operator="containsText" text="REMOVE"/>
  </x:conditionalFormatting>
  <x:dataValidations count="1">
    <x:dataValidation type="list" sqref="H5:H25">
      <x:formula1>"Unresolved,REMOVE,MIGRATE,RETAIN_WITH_EXPIRY,KEEP"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5684f347443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44" hidden="0" customWidth="1"/>
    <x:col min="5" max="5" width="18" hidden="0" customWidth="1"/>
    <x:col min="6" max="6" width="36" hidden="0" customWidth="1"/>
    <x:col min="7" max="7" width="46" hidden="0" customWidth="1"/>
    <x:col min="8" max="8" width="48" hidden="0" customWidth="1"/>
    <x:col min="9" max="9" width="12" hidden="0" customWidth="1"/>
    <x:col min="10" max="10" width="28" hidden="0" customWidth="1"/>
    <x:col min="11" max="11" width="34" hidden="0" customWidth="1"/>
    <x:col min="12" max="12" width="20" hidden="0" customWidth="1"/>
    <x:col min="13" max="13" width="20" hidden="0" customWidth="1"/>
    <x:col min="14" max="14" width="42" hidden="0" customWidth="1"/>
  </x:cols>
  <x:sheetData>
    <x:row r="1" ht="30" customHeight="1">
      <x:c r="A1" s="3" t="str">
        <x:v>Jira Import Preparation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Snapshot sinh từ Roadmap tại thời điểm tạo workbook. Lọc cột Create? trước khi xuất CSV; kiểm tra project metadata và regenerate nếu Roadmap thay đổi.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34" t="str">
        <x:v>Local ID</x:v>
      </x:c>
      <x:c r="B4" s="35" t="str">
        <x:v>Create?</x:v>
      </x:c>
      <x:c r="C4" s="35" t="str">
        <x:v>Issue Type</x:v>
      </x:c>
      <x:c r="D4" s="35" t="str">
        <x:v>Summary</x:v>
      </x:c>
      <x:c r="E4" s="35" t="str">
        <x:v>Parent Local ID</x:v>
      </x:c>
      <x:c r="F4" s="35" t="str">
        <x:v>Epic Name</x:v>
      </x:c>
      <x:c r="G4" s="35" t="str">
        <x:v>Description</x:v>
      </x:c>
      <x:c r="H4" s="35" t="str">
        <x:v>Acceptance Criteria</x:v>
      </x:c>
      <x:c r="I4" s="35" t="str">
        <x:v>Priority</x:v>
      </x:c>
      <x:c r="J4" s="35" t="str">
        <x:v>Component</x:v>
      </x:c>
      <x:c r="K4" s="35" t="str">
        <x:v>Labels</x:v>
      </x:c>
      <x:c r="L4" s="35" t="str">
        <x:v>Fix Version</x:v>
      </x:c>
      <x:c r="M4" s="35" t="str">
        <x:v>Initial Status</x:v>
      </x:c>
      <x:c r="N4" s="36" t="str">
        <x:v>Source</x:v>
      </x:c>
    </x:row>
    <x:row r="5" ht="54" customHeight="1">
      <x:c r="A5" s="42" t="str">
        <x:v>PRA-PROGRAM</x:v>
      </x:c>
      <x:c r="B5" s="42" t="str">
        <x:v>Yes</x:v>
      </x:c>
      <x:c r="C5" s="42" t="str">
        <x:v>Initiative</x:v>
      </x:c>
      <x:c r="D5" s="42" t="str">
        <x:v>PRACTICE — Production Readiness</x:v>
      </x:c>
      <x:c r="E5" s="42" t="str"/>
      <x:c r="F5" s="42" t="str"/>
      <x:c r="G5" s="42" t="str">
        <x:v>Chương trình tổng thể /practice từ Phase 1 đến Phase 16.</x:v>
      </x:c>
      <x:c r="H5" s="42" t="str">
        <x:v>Mọi phase có gate, evidence, debt owner/trigger và capability-specific release verdict.</x:v>
      </x:c>
      <x:c r="I5" s="42" t="str">
        <x:v>Highest</x:v>
      </x:c>
      <x:c r="J5" s="42" t="str">
        <x:v>Practice Program</x:v>
      </x:c>
      <x:c r="K5" s="42" t="str">
        <x:v>practice,production-readiness</x:v>
      </x:c>
      <x:c r="L5" s="42" t="str">
        <x:v>Practice Roadmap</x:v>
      </x:c>
      <x:c r="M5" s="42" t="str">
        <x:v>In Progress</x:v>
      </x:c>
      <x:c r="N5" s="42" t="str">
        <x:v>CODEX_PRACTICE_WORKFLOW.md; PRACTICE_PHASE_10_16_EXECUTION_BLUEPRINT.md</x:v>
      </x:c>
    </x:row>
    <x:row r="6" ht="54" customHeight="1">
      <x:c r="A6" s="43" t="str">
        <x:v>PRA-01</x:v>
      </x:c>
      <x:c r="B6" s="43" t="str">
        <x:v>Optional-History</x:v>
      </x:c>
      <x:c r="C6" s="43" t="str">
        <x:v>Epic</x:v>
      </x:c>
      <x:c r="D6" s="43" t="str">
        <x:v>Remove Legacy R/L Explanation</x:v>
      </x:c>
      <x:c r="E6" s="43" t="str">
        <x:v>PRA-PROGRAM</x:v>
      </x:c>
      <x:c r="F6" s="43" t="str">
        <x:v>Remove Legacy R/L Explanation</x:v>
      </x:c>
      <x:c r="G6" s="43" t="str">
        <x:v>Loại bỏ explanation/provider path trùng lặp và thống nhất nguồn giải thích.</x:v>
      </x:c>
      <x:c r="H6" s="43" t="str">
        <x:v>Một production explanation source; không duplicate provider call; regression cost/privacy xanh.</x:v>
      </x:c>
      <x:c r="I6" s="43" t="str">
        <x:v>Medium</x:v>
      </x:c>
      <x:c r="J6" s="43" t="str">
        <x:v>Practice R/L AI</x:v>
      </x:c>
      <x:c r="K6" s="43" t="str">
        <x:v>practice</x:v>
      </x:c>
      <x:c r="L6" s="43" t="str">
        <x:v>Historical</x:v>
      </x:c>
      <x:c r="M6" s="43" t="str">
        <x:v>Done</x:v>
      </x:c>
      <x:c r="N6" s="43" t="str">
        <x:v>CODEX_PRACTICE_WORKFLOW.md §Phase 1</x:v>
      </x:c>
    </x:row>
    <x:row r="7" ht="54" customHeight="1">
      <x:c r="A7" s="43" t="str">
        <x:v>PRA-01-T01</x:v>
      </x:c>
      <x:c r="B7" s="43" t="str">
        <x:v>Optional-History</x:v>
      </x:c>
      <x:c r="C7" s="43" t="str">
        <x:v>Task</x:v>
      </x:c>
      <x:c r="D7" s="43" t="str">
        <x:v>Inventory và loại bỏ duplicate R/L provider paths</x:v>
      </x:c>
      <x:c r="E7" s="43" t="str">
        <x:v>PRA-01</x:v>
      </x:c>
      <x:c r="F7" s="43" t="str"/>
      <x:c r="G7" s="43" t="str">
        <x:v>Map caller/callee và retire path legacy.</x:v>
      </x:c>
      <x:c r="H7" s="43" t="str">
        <x:v>Static call-site audit còn đúng một path.</x:v>
      </x:c>
      <x:c r="I7" s="43" t="str">
        <x:v>Medium</x:v>
      </x:c>
      <x:c r="J7" s="43" t="str">
        <x:v>Practice R/L AI</x:v>
      </x:c>
      <x:c r="K7" s="43" t="str">
        <x:v>practice</x:v>
      </x:c>
      <x:c r="L7" s="43" t="str">
        <x:v>Historical</x:v>
      </x:c>
      <x:c r="M7" s="43" t="str">
        <x:v>Done</x:v>
      </x:c>
      <x:c r="N7" s="43" t="str">
        <x:v>CODEX_PRACTICE_WORKFLOW.md §Phase 1</x:v>
      </x:c>
    </x:row>
    <x:row r="8" ht="54" customHeight="1">
      <x:c r="A8" s="43" t="str">
        <x:v>PRA-01-T02</x:v>
      </x:c>
      <x:c r="B8" s="43" t="str">
        <x:v>Optional-History</x:v>
      </x:c>
      <x:c r="C8" s="43" t="str">
        <x:v>Task</x:v>
      </x:c>
      <x:c r="D8" s="43" t="str">
        <x:v>Unify canonical R/L explanation source</x:v>
      </x:c>
      <x:c r="E8" s="43" t="str">
        <x:v>PRA-01</x:v>
      </x:c>
      <x:c r="F8" s="43" t="str"/>
      <x:c r="G8" s="43" t="str"/>
      <x:c r="H8" s="43" t="str">
        <x:v>Mọi result/detail đọc cùng canonical contract.</x:v>
      </x:c>
      <x:c r="I8" s="43" t="str">
        <x:v>Medium</x:v>
      </x:c>
      <x:c r="J8" s="43" t="str">
        <x:v>Practice R/L AI</x:v>
      </x:c>
      <x:c r="K8" s="43" t="str">
        <x:v>practice</x:v>
      </x:c>
      <x:c r="L8" s="43" t="str">
        <x:v>Historical</x:v>
      </x:c>
      <x:c r="M8" s="43" t="str">
        <x:v>Done</x:v>
      </x:c>
      <x:c r="N8" s="43" t="str">
        <x:v>CODEX_PRACTICE_WORKFLOW.md §Phase 1</x:v>
      </x:c>
    </x:row>
    <x:row r="9" ht="54" customHeight="1">
      <x:c r="A9" s="43" t="str">
        <x:v>PRA-01-T03</x:v>
      </x:c>
      <x:c r="B9" s="43" t="str">
        <x:v>Optional-History</x:v>
      </x:c>
      <x:c r="C9" s="43" t="str">
        <x:v>Task</x:v>
      </x:c>
      <x:c r="D9" s="43" t="str">
        <x:v>Regression cost, fallback và privacy</x:v>
      </x:c>
      <x:c r="E9" s="43" t="str">
        <x:v>PRA-01</x:v>
      </x:c>
      <x:c r="F9" s="43" t="str"/>
      <x:c r="G9" s="43" t="str"/>
      <x:c r="H9" s="43" t="str">
        <x:v>Không tăng provider call; không lộ prompt/answer/provider body.</x:v>
      </x:c>
      <x:c r="I9" s="43" t="str">
        <x:v>Medium</x:v>
      </x:c>
      <x:c r="J9" s="43" t="str">
        <x:v>Practice R/L AI</x:v>
      </x:c>
      <x:c r="K9" s="43" t="str">
        <x:v>practice</x:v>
      </x:c>
      <x:c r="L9" s="43" t="str">
        <x:v>Historical</x:v>
      </x:c>
      <x:c r="M9" s="43" t="str">
        <x:v>Done</x:v>
      </x:c>
      <x:c r="N9" s="43" t="str">
        <x:v>CODEX_PRACTICE_WORKFLOW.md §Phase 1</x:v>
      </x:c>
    </x:row>
    <x:row r="10" ht="54" customHeight="1">
      <x:c r="A10" s="43" t="str">
        <x:v>PRA-02</x:v>
      </x:c>
      <x:c r="B10" s="43" t="str">
        <x:v>Optional-History</x:v>
      </x:c>
      <x:c r="C10" s="43" t="str">
        <x:v>Epic</x:v>
      </x:c>
      <x:c r="D10" s="43" t="str">
        <x:v>AI Logging &amp; Privacy Hardening</x:v>
      </x:c>
      <x:c r="E10" s="43" t="str">
        <x:v>PRA-PROGRAM</x:v>
      </x:c>
      <x:c r="F10" s="43" t="str">
        <x:v>AI Logging &amp; Privacy Hardening</x:v>
      </x:c>
      <x:c r="G10" s="43" t="str">
        <x:v>Ngăn logging dữ liệu AI và learner nhạy cảm.</x:v>
      </x:c>
      <x:c r="H10" s="43" t="str">
        <x:v>Không log provider body, prompt, learner answer, evidence hoặc cache key.</x:v>
      </x:c>
      <x:c r="I10" s="43" t="str">
        <x:v>Medium</x:v>
      </x:c>
      <x:c r="J10" s="43" t="str">
        <x:v>Practice Security</x:v>
      </x:c>
      <x:c r="K10" s="43" t="str">
        <x:v>practice</x:v>
      </x:c>
      <x:c r="L10" s="43" t="str">
        <x:v>Historical</x:v>
      </x:c>
      <x:c r="M10" s="43" t="str">
        <x:v>Done</x:v>
      </x:c>
      <x:c r="N10" s="43" t="str">
        <x:v>CODEX_PRACTICE_WORKFLOW.md §Phase 2</x:v>
      </x:c>
    </x:row>
    <x:row r="11" ht="54" customHeight="1">
      <x:c r="A11" s="43" t="str">
        <x:v>PRA-02-T01</x:v>
      </x:c>
      <x:c r="B11" s="43" t="str">
        <x:v>Optional-History</x:v>
      </x:c>
      <x:c r="C11" s="43" t="str">
        <x:v>Task</x:v>
      </x:c>
      <x:c r="D11" s="43" t="str">
        <x:v>Redact AI request/response logging</x:v>
      </x:c>
      <x:c r="E11" s="43" t="str">
        <x:v>PRA-02</x:v>
      </x:c>
      <x:c r="F11" s="43" t="str"/>
      <x:c r="G11" s="43" t="str"/>
      <x:c r="H11" s="43" t="str">
        <x:v>Logs chỉ chứa bounded metadata và correlation ID.</x:v>
      </x:c>
      <x:c r="I11" s="43" t="str">
        <x:v>Medium</x:v>
      </x:c>
      <x:c r="J11" s="43" t="str">
        <x:v>Practice Security</x:v>
      </x:c>
      <x:c r="K11" s="43" t="str">
        <x:v>practice</x:v>
      </x:c>
      <x:c r="L11" s="43" t="str">
        <x:v>Historical</x:v>
      </x:c>
      <x:c r="M11" s="43" t="str">
        <x:v>Done</x:v>
      </x:c>
      <x:c r="N11" s="43" t="str">
        <x:v>CODEX_PRACTICE_WORKFLOW.md §Phase 2</x:v>
      </x:c>
    </x:row>
    <x:row r="12" ht="54" customHeight="1">
      <x:c r="A12" s="43" t="str">
        <x:v>PRA-02-T02</x:v>
      </x:c>
      <x:c r="B12" s="43" t="str">
        <x:v>Optional-History</x:v>
      </x:c>
      <x:c r="C12" s="43" t="str">
        <x:v>Task</x:v>
      </x:c>
      <x:c r="D12" s="43" t="str">
        <x:v>Harden error response privacy</x:v>
      </x:c>
      <x:c r="E12" s="43" t="str">
        <x:v>PRA-02</x:v>
      </x:c>
      <x:c r="F12" s="43" t="str"/>
      <x:c r="G12" s="43" t="str"/>
      <x:c r="H12" s="43" t="str">
        <x:v>Không render provider body, secret hoặc private storage path.</x:v>
      </x:c>
      <x:c r="I12" s="43" t="str">
        <x:v>Medium</x:v>
      </x:c>
      <x:c r="J12" s="43" t="str">
        <x:v>Practice Security</x:v>
      </x:c>
      <x:c r="K12" s="43" t="str">
        <x:v>practice</x:v>
      </x:c>
      <x:c r="L12" s="43" t="str">
        <x:v>Historical</x:v>
      </x:c>
      <x:c r="M12" s="43" t="str">
        <x:v>Done</x:v>
      </x:c>
      <x:c r="N12" s="43" t="str">
        <x:v>CODEX_PRACTICE_WORKFLOW.md §Phase 2</x:v>
      </x:c>
    </x:row>
    <x:row r="13" ht="54" customHeight="1">
      <x:c r="A13" s="43" t="str">
        <x:v>PRA-02-T03</x:v>
      </x:c>
      <x:c r="B13" s="43" t="str">
        <x:v>Optional-History</x:v>
      </x:c>
      <x:c r="C13" s="43" t="str">
        <x:v>Task</x:v>
      </x:c>
      <x:c r="D13" s="43" t="str">
        <x:v>Add negative no-leak regression evidence</x:v>
      </x:c>
      <x:c r="E13" s="43" t="str">
        <x:v>PRA-02</x:v>
      </x:c>
      <x:c r="F13" s="43" t="str"/>
      <x:c r="G13" s="43" t="str"/>
      <x:c r="H13" s="43" t="str">
        <x:v>Tests chứng minh prompt, answer và secrets không xuất hiện.</x:v>
      </x:c>
      <x:c r="I13" s="43" t="str">
        <x:v>Medium</x:v>
      </x:c>
      <x:c r="J13" s="43" t="str">
        <x:v>Practice Security</x:v>
      </x:c>
      <x:c r="K13" s="43" t="str">
        <x:v>practice</x:v>
      </x:c>
      <x:c r="L13" s="43" t="str">
        <x:v>Historical</x:v>
      </x:c>
      <x:c r="M13" s="43" t="str">
        <x:v>Done</x:v>
      </x:c>
      <x:c r="N13" s="43" t="str">
        <x:v>CODEX_PRACTICE_WORKFLOW.md §Phase 2</x:v>
      </x:c>
    </x:row>
    <x:row r="14" ht="54" customHeight="1">
      <x:c r="A14" s="43" t="str">
        <x:v>PRA-03</x:v>
      </x:c>
      <x:c r="B14" s="43" t="str">
        <x:v>Optional-History</x:v>
      </x:c>
      <x:c r="C14" s="43" t="str">
        <x:v>Epic</x:v>
      </x:c>
      <x:c r="D14" s="43" t="str">
        <x:v>Transaction Boundary Hardening</x:v>
      </x:c>
      <x:c r="E14" s="43" t="str">
        <x:v>PRA-PROGRAM</x:v>
      </x:c>
      <x:c r="F14" s="43" t="str">
        <x:v>Transaction Boundary Hardening</x:v>
      </x:c>
      <x:c r="G14" s="43" t="str">
        <x:v>Đưa provider I/O ra ngoài DB transaction.</x:v>
      </x:c>
      <x:c r="H14" s="43" t="str">
        <x:v>Snapshot/read → provider outside transaction → persist in bounded transaction.</x:v>
      </x:c>
      <x:c r="I14" s="43" t="str">
        <x:v>Medium</x:v>
      </x:c>
      <x:c r="J14" s="43" t="str">
        <x:v>Practice Persistence/Migration</x:v>
      </x:c>
      <x:c r="K14" s="43" t="str">
        <x:v>practice</x:v>
      </x:c>
      <x:c r="L14" s="43" t="str">
        <x:v>Historical</x:v>
      </x:c>
      <x:c r="M14" s="43" t="str">
        <x:v>Done</x:v>
      </x:c>
      <x:c r="N14" s="43" t="str">
        <x:v>CODEX_PRACTICE_WORKFLOW.md §Phase 3</x:v>
      </x:c>
    </x:row>
    <x:row r="15" ht="54" customHeight="1">
      <x:c r="A15" s="43" t="str">
        <x:v>PRA-03-T01</x:v>
      </x:c>
      <x:c r="B15" s="43" t="str">
        <x:v>Optional-History</x:v>
      </x:c>
      <x:c r="C15" s="43" t="str">
        <x:v>Task</x:v>
      </x:c>
      <x:c r="D15" s="43" t="str">
        <x:v>Snapshot provider input before external call</x:v>
      </x:c>
      <x:c r="E15" s="43" t="str">
        <x:v>PRA-03</x:v>
      </x:c>
      <x:c r="F15" s="43" t="str"/>
      <x:c r="G15" s="43" t="str"/>
      <x:c r="H15" s="43" t="str">
        <x:v>Input ổn định và không giữ DB connection.</x:v>
      </x:c>
      <x:c r="I15" s="43" t="str">
        <x:v>Medium</x:v>
      </x:c>
      <x:c r="J15" s="43" t="str">
        <x:v>Practice Persistence/Migration</x:v>
      </x:c>
      <x:c r="K15" s="43" t="str">
        <x:v>practice</x:v>
      </x:c>
      <x:c r="L15" s="43" t="str">
        <x:v>Historical</x:v>
      </x:c>
      <x:c r="M15" s="43" t="str">
        <x:v>Done</x:v>
      </x:c>
      <x:c r="N15" s="43" t="str">
        <x:v>CODEX_PRACTICE_WORKFLOW.md §Phase 3</x:v>
      </x:c>
    </x:row>
    <x:row r="16" ht="54" customHeight="1">
      <x:c r="A16" s="43" t="str">
        <x:v>PRA-03-T02</x:v>
      </x:c>
      <x:c r="B16" s="43" t="str">
        <x:v>Optional-History</x:v>
      </x:c>
      <x:c r="C16" s="43" t="str">
        <x:v>Task</x:v>
      </x:c>
      <x:c r="D16" s="43" t="str">
        <x:v>Persist result in separate bounded transaction</x:v>
      </x:c>
      <x:c r="E16" s="43" t="str">
        <x:v>PRA-03</x:v>
      </x:c>
      <x:c r="F16" s="43" t="str"/>
      <x:c r="G16" s="43" t="str"/>
      <x:c r="H16" s="43" t="str">
        <x:v>Provider timeout không rollback business transaction dài.</x:v>
      </x:c>
      <x:c r="I16" s="43" t="str">
        <x:v>Medium</x:v>
      </x:c>
      <x:c r="J16" s="43" t="str">
        <x:v>Practice Persistence/Migration</x:v>
      </x:c>
      <x:c r="K16" s="43" t="str">
        <x:v>practice</x:v>
      </x:c>
      <x:c r="L16" s="43" t="str">
        <x:v>Historical</x:v>
      </x:c>
      <x:c r="M16" s="43" t="str">
        <x:v>Done</x:v>
      </x:c>
      <x:c r="N16" s="43" t="str">
        <x:v>CODEX_PRACTICE_WORKFLOW.md §Phase 3</x:v>
      </x:c>
    </x:row>
    <x:row r="17" ht="54" customHeight="1">
      <x:c r="A17" s="43" t="str">
        <x:v>PRA-03-T03</x:v>
      </x:c>
      <x:c r="B17" s="43" t="str">
        <x:v>Optional-History</x:v>
      </x:c>
      <x:c r="C17" s="43" t="str">
        <x:v>Task</x:v>
      </x:c>
      <x:c r="D17" s="43" t="str">
        <x:v>Failure and retry transaction tests</x:v>
      </x:c>
      <x:c r="E17" s="43" t="str">
        <x:v>PRA-03</x:v>
      </x:c>
      <x:c r="F17" s="43" t="str"/>
      <x:c r="G17" s="43" t="str"/>
      <x:c r="H17" s="43" t="str">
        <x:v>No lost update, duplicate write hoặc connection retention.</x:v>
      </x:c>
      <x:c r="I17" s="43" t="str">
        <x:v>Medium</x:v>
      </x:c>
      <x:c r="J17" s="43" t="str">
        <x:v>Practice Persistence/Migration</x:v>
      </x:c>
      <x:c r="K17" s="43" t="str">
        <x:v>practice</x:v>
      </x:c>
      <x:c r="L17" s="43" t="str">
        <x:v>Historical</x:v>
      </x:c>
      <x:c r="M17" s="43" t="str">
        <x:v>Done</x:v>
      </x:c>
      <x:c r="N17" s="43" t="str">
        <x:v>CODEX_PRACTICE_WORKFLOW.md §Phase 3</x:v>
      </x:c>
    </x:row>
    <x:row r="18" ht="54" customHeight="1">
      <x:c r="A18" s="43" t="str">
        <x:v>PRA-04</x:v>
      </x:c>
      <x:c r="B18" s="43" t="str">
        <x:v>Optional-History</x:v>
      </x:c>
      <x:c r="C18" s="43" t="str">
        <x:v>Epic</x:v>
      </x:c>
      <x:c r="D18" s="43" t="str">
        <x:v>Per-Question Writing Re-evaluate</x:v>
      </x:c>
      <x:c r="E18" s="43" t="str">
        <x:v>PRA-PROGRAM</x:v>
      </x:c>
      <x:c r="F18" s="43" t="str">
        <x:v>Per-Question Writing Re-evaluate</x:v>
      </x:c>
      <x:c r="G18" s="43" t="str">
        <x:v>Chấm lại một câu Writing mà không phá feedback câu khác.</x:v>
      </x:c>
      <x:c r="H18" s="43" t="str">
        <x:v>Target question thay đổi; non-target feedback được giữ; request idempotent.</x:v>
      </x:c>
      <x:c r="I18" s="43" t="str">
        <x:v>Medium</x:v>
      </x:c>
      <x:c r="J18" s="43" t="str">
        <x:v>Practice Writing AI</x:v>
      </x:c>
      <x:c r="K18" s="43" t="str">
        <x:v>practice</x:v>
      </x:c>
      <x:c r="L18" s="43" t="str">
        <x:v>Historical</x:v>
      </x:c>
      <x:c r="M18" s="43" t="str">
        <x:v>Done</x:v>
      </x:c>
      <x:c r="N18" s="43" t="str">
        <x:v>CODEX_PRACTICE_WORKFLOW.md §Phase 4</x:v>
      </x:c>
    </x:row>
    <x:row r="19" ht="54" customHeight="1">
      <x:c r="A19" s="43" t="str">
        <x:v>PRA-04-T01</x:v>
      </x:c>
      <x:c r="B19" s="43" t="str">
        <x:v>Optional-History</x:v>
      </x:c>
      <x:c r="C19" s="43" t="str">
        <x:v>Task</x:v>
      </x:c>
      <x:c r="D19" s="43" t="str">
        <x:v>Target one Writing question for re-evaluation</x:v>
      </x:c>
      <x:c r="E19" s="43" t="str">
        <x:v>PRA-04</x:v>
      </x:c>
      <x:c r="F19" s="43" t="str"/>
      <x:c r="G19" s="43" t="str"/>
      <x:c r="H19" s="43" t="str">
        <x:v>Immutable question/task identity được kiểm tra.</x:v>
      </x:c>
      <x:c r="I19" s="43" t="str">
        <x:v>Medium</x:v>
      </x:c>
      <x:c r="J19" s="43" t="str">
        <x:v>Practice Writing AI</x:v>
      </x:c>
      <x:c r="K19" s="43" t="str">
        <x:v>practice</x:v>
      </x:c>
      <x:c r="L19" s="43" t="str">
        <x:v>Historical</x:v>
      </x:c>
      <x:c r="M19" s="43" t="str">
        <x:v>Done</x:v>
      </x:c>
      <x:c r="N19" s="43" t="str">
        <x:v>CODEX_PRACTICE_WORKFLOW.md §Phase 4</x:v>
      </x:c>
    </x:row>
    <x:row r="20" ht="54" customHeight="1">
      <x:c r="A20" s="43" t="str">
        <x:v>PRA-04-T02</x:v>
      </x:c>
      <x:c r="B20" s="43" t="str">
        <x:v>Optional-History</x:v>
      </x:c>
      <x:c r="C20" s="43" t="str">
        <x:v>Task</x:v>
      </x:c>
      <x:c r="D20" s="43" t="str">
        <x:v>Preserve unrelated feedback</x:v>
      </x:c>
      <x:c r="E20" s="43" t="str">
        <x:v>PRA-04</x:v>
      </x:c>
      <x:c r="F20" s="43" t="str"/>
      <x:c r="G20" s="43" t="str"/>
      <x:c r="H20" s="43" t="str">
        <x:v>Các câu khác giữ nguyên score và evidence.</x:v>
      </x:c>
      <x:c r="I20" s="43" t="str">
        <x:v>Medium</x:v>
      </x:c>
      <x:c r="J20" s="43" t="str">
        <x:v>Practice Writing AI</x:v>
      </x:c>
      <x:c r="K20" s="43" t="str">
        <x:v>practice</x:v>
      </x:c>
      <x:c r="L20" s="43" t="str">
        <x:v>Historical</x:v>
      </x:c>
      <x:c r="M20" s="43" t="str">
        <x:v>Done</x:v>
      </x:c>
      <x:c r="N20" s="43" t="str">
        <x:v>CODEX_PRACTICE_WORKFLOW.md §Phase 4</x:v>
      </x:c>
    </x:row>
    <x:row r="21" ht="54" customHeight="1">
      <x:c r="A21" s="43" t="str">
        <x:v>PRA-04-T03</x:v>
      </x:c>
      <x:c r="B21" s="43" t="str">
        <x:v>Optional-History</x:v>
      </x:c>
      <x:c r="C21" s="43" t="str">
        <x:v>Task</x:v>
      </x:c>
      <x:c r="D21" s="43" t="str">
        <x:v>Re-evaluation idempotency and failure handling</x:v>
      </x:c>
      <x:c r="E21" s="43" t="str">
        <x:v>PRA-04</x:v>
      </x:c>
      <x:c r="F21" s="43" t="str"/>
      <x:c r="G21" s="43" t="str"/>
      <x:c r="H21" s="43" t="str">
        <x:v>Provider lỗi không xóa kết quả hợp lệ trước đó.</x:v>
      </x:c>
      <x:c r="I21" s="43" t="str">
        <x:v>Medium</x:v>
      </x:c>
      <x:c r="J21" s="43" t="str">
        <x:v>Practice Writing AI</x:v>
      </x:c>
      <x:c r="K21" s="43" t="str">
        <x:v>practice</x:v>
      </x:c>
      <x:c r="L21" s="43" t="str">
        <x:v>Historical</x:v>
      </x:c>
      <x:c r="M21" s="43" t="str">
        <x:v>Done</x:v>
      </x:c>
      <x:c r="N21" s="43" t="str">
        <x:v>CODEX_PRACTICE_WORKFLOW.md §Phase 4</x:v>
      </x:c>
    </x:row>
    <x:row r="22" ht="54" customHeight="1">
      <x:c r="A22" s="43" t="str">
        <x:v>PRA-05</x:v>
      </x:c>
      <x:c r="B22" s="43" t="str">
        <x:v>Optional-History</x:v>
      </x:c>
      <x:c r="C22" s="43" t="str">
        <x:v>Epic</x:v>
      </x:c>
      <x:c r="D22" s="43" t="str">
        <x:v>Typed AI Result DTO</x:v>
      </x:c>
      <x:c r="E22" s="43" t="str">
        <x:v>PRA-PROGRAM</x:v>
      </x:c>
      <x:c r="F22" s="43" t="str">
        <x:v>Typed AI Result DTO</x:v>
      </x:c>
      <x:c r="G22" s="43" t="str">
        <x:v>Chuẩn hóa typed score/rubric/evidence/result DTO và compatibility reader.</x:v>
      </x:c>
      <x:c r="H22" s="43" t="str">
        <x:v>Presentation không parse score từ prose; legacy payload được xử lý có chủ đích.</x:v>
      </x:c>
      <x:c r="I22" s="43" t="str">
        <x:v>Medium</x:v>
      </x:c>
      <x:c r="J22" s="43" t="str">
        <x:v>Practice Result</x:v>
      </x:c>
      <x:c r="K22" s="43" t="str">
        <x:v>practice</x:v>
      </x:c>
      <x:c r="L22" s="43" t="str">
        <x:v>Historical</x:v>
      </x:c>
      <x:c r="M22" s="43" t="str">
        <x:v>Done</x:v>
      </x:c>
      <x:c r="N22" s="43" t="str">
        <x:v>CODEX_PRACTICE_WORKFLOW.md §Phase 5</x:v>
      </x:c>
    </x:row>
    <x:row r="23" ht="54" customHeight="1">
      <x:c r="A23" s="43" t="str">
        <x:v>PRA-05-T01</x:v>
      </x:c>
      <x:c r="B23" s="43" t="str">
        <x:v>Optional-History</x:v>
      </x:c>
      <x:c r="C23" s="43" t="str">
        <x:v>Task</x:v>
      </x:c>
      <x:c r="D23" s="43" t="str">
        <x:v>Define typed result and rubric DTOs</x:v>
      </x:c>
      <x:c r="E23" s="43" t="str">
        <x:v>PRA-05</x:v>
      </x:c>
      <x:c r="F23" s="43" t="str"/>
      <x:c r="G23" s="43" t="str"/>
      <x:c r="H23" s="43" t="str">
        <x:v>Schema có version, nullable và scale rõ ràng.</x:v>
      </x:c>
      <x:c r="I23" s="43" t="str">
        <x:v>Medium</x:v>
      </x:c>
      <x:c r="J23" s="43" t="str">
        <x:v>Practice Result</x:v>
      </x:c>
      <x:c r="K23" s="43" t="str">
        <x:v>practice</x:v>
      </x:c>
      <x:c r="L23" s="43" t="str">
        <x:v>Historical</x:v>
      </x:c>
      <x:c r="M23" s="43" t="str">
        <x:v>Done</x:v>
      </x:c>
      <x:c r="N23" s="43" t="str">
        <x:v>CODEX_PRACTICE_WORKFLOW.md §Phase 5</x:v>
      </x:c>
    </x:row>
    <x:row r="24" ht="54" customHeight="1">
      <x:c r="A24" s="43" t="str">
        <x:v>PRA-05-T02</x:v>
      </x:c>
      <x:c r="B24" s="43" t="str">
        <x:v>Optional-History</x:v>
      </x:c>
      <x:c r="C24" s="43" t="str">
        <x:v>Task</x:v>
      </x:c>
      <x:c r="D24" s="43" t="str">
        <x:v>Implement compatibility readers</x:v>
      </x:c>
      <x:c r="E24" s="43" t="str">
        <x:v>PRA-05</x:v>
      </x:c>
      <x:c r="F24" s="43" t="str"/>
      <x:c r="G24" s="43" t="str"/>
      <x:c r="H24" s="43" t="str">
        <x:v>Legacy payload được map hoặc fail closed.</x:v>
      </x:c>
      <x:c r="I24" s="43" t="str">
        <x:v>Medium</x:v>
      </x:c>
      <x:c r="J24" s="43" t="str">
        <x:v>Practice Result</x:v>
      </x:c>
      <x:c r="K24" s="43" t="str">
        <x:v>practice</x:v>
      </x:c>
      <x:c r="L24" s="43" t="str">
        <x:v>Historical</x:v>
      </x:c>
      <x:c r="M24" s="43" t="str">
        <x:v>Done</x:v>
      </x:c>
      <x:c r="N24" s="43" t="str">
        <x:v>CODEX_PRACTICE_WORKFLOW.md §Phase 5</x:v>
      </x:c>
    </x:row>
    <x:row r="25" ht="54" customHeight="1">
      <x:c r="A25" s="43" t="str">
        <x:v>PRA-05-T03</x:v>
      </x:c>
      <x:c r="B25" s="43" t="str">
        <x:v>Optional-History</x:v>
      </x:c>
      <x:c r="C25" s="43" t="str">
        <x:v>Task</x:v>
      </x:c>
      <x:c r="D25" s="43" t="str">
        <x:v>Wire typed result through service and UI</x:v>
      </x:c>
      <x:c r="E25" s="43" t="str">
        <x:v>PRA-05</x:v>
      </x:c>
      <x:c r="F25" s="43" t="str"/>
      <x:c r="G25" s="43" t="str"/>
      <x:c r="H25" s="43" t="str">
        <x:v>Không còn prose parsing trong UI.</x:v>
      </x:c>
      <x:c r="I25" s="43" t="str">
        <x:v>Medium</x:v>
      </x:c>
      <x:c r="J25" s="43" t="str">
        <x:v>Practice Result</x:v>
      </x:c>
      <x:c r="K25" s="43" t="str">
        <x:v>practice</x:v>
      </x:c>
      <x:c r="L25" s="43" t="str">
        <x:v>Historical</x:v>
      </x:c>
      <x:c r="M25" s="43" t="str">
        <x:v>Done</x:v>
      </x:c>
      <x:c r="N25" s="43" t="str">
        <x:v>CODEX_PRACTICE_WORKFLOW.md §Phase 5</x:v>
      </x:c>
    </x:row>
    <x:row r="26" ht="54" customHeight="1">
      <x:c r="A26" s="43" t="str">
        <x:v>PRA-06</x:v>
      </x:c>
      <x:c r="B26" s="43" t="str">
        <x:v>Optional-History</x:v>
      </x:c>
      <x:c r="C26" s="43" t="str">
        <x:v>Epic</x:v>
      </x:c>
      <x:c r="D26" s="43" t="str">
        <x:v>Explicit Writing Task Metadata</x:v>
      </x:c>
      <x:c r="E26" s="43" t="str">
        <x:v>PRA-PROGRAM</x:v>
      </x:c>
      <x:c r="F26" s="43" t="str">
        <x:v>Explicit Writing Task Metadata</x:v>
      </x:c>
      <x:c r="G26" s="43" t="str">
        <x:v>Khóa identity Q51/Q52/Q53/Q54/GENERAL.</x:v>
      </x:c>
      <x:c r="H26" s="43" t="str">
        <x:v>Task metadata tồn tại xuyên authoring/import/publish/snapshot/evaluation.</x:v>
      </x:c>
      <x:c r="I26" s="43" t="str">
        <x:v>Medium</x:v>
      </x:c>
      <x:c r="J26" s="43" t="str">
        <x:v>Practice Writing AI</x:v>
      </x:c>
      <x:c r="K26" s="43" t="str">
        <x:v>practice</x:v>
      </x:c>
      <x:c r="L26" s="43" t="str">
        <x:v>Historical</x:v>
      </x:c>
      <x:c r="M26" s="43" t="str">
        <x:v>Done</x:v>
      </x:c>
      <x:c r="N26" s="43" t="str">
        <x:v>CODEX_PRACTICE_WORKFLOW.md §Phase 6</x:v>
      </x:c>
    </x:row>
    <x:row r="27" ht="54" customHeight="1">
      <x:c r="A27" s="43" t="str">
        <x:v>PRA-06-T01</x:v>
      </x:c>
      <x:c r="B27" s="43" t="str">
        <x:v>Optional-History</x:v>
      </x:c>
      <x:c r="C27" s="43" t="str">
        <x:v>Task</x:v>
      </x:c>
      <x:c r="D27" s="43" t="str">
        <x:v>Define WritingTaskType identity</x:v>
      </x:c>
      <x:c r="E27" s="43" t="str">
        <x:v>PRA-06</x:v>
      </x:c>
      <x:c r="F27" s="43" t="str"/>
      <x:c r="G27" s="43" t="str"/>
      <x:c r="H27" s="43" t="str">
        <x:v>Q51-Q54 và GENERAL không suy luận từ vị trí UI.</x:v>
      </x:c>
      <x:c r="I27" s="43" t="str">
        <x:v>Medium</x:v>
      </x:c>
      <x:c r="J27" s="43" t="str">
        <x:v>Practice Writing AI</x:v>
      </x:c>
      <x:c r="K27" s="43" t="str">
        <x:v>practice</x:v>
      </x:c>
      <x:c r="L27" s="43" t="str">
        <x:v>Historical</x:v>
      </x:c>
      <x:c r="M27" s="43" t="str">
        <x:v>Done</x:v>
      </x:c>
      <x:c r="N27" s="43" t="str">
        <x:v>CODEX_PRACTICE_WORKFLOW.md §Phase 6</x:v>
      </x:c>
    </x:row>
    <x:row r="28" ht="54" customHeight="1">
      <x:c r="A28" s="43" t="str">
        <x:v>PRA-06-T02</x:v>
      </x:c>
      <x:c r="B28" s="43" t="str">
        <x:v>Optional-History</x:v>
      </x:c>
      <x:c r="C28" s="43" t="str">
        <x:v>Task</x:v>
      </x:c>
      <x:c r="D28" s="43" t="str">
        <x:v>Persist task-native metadata and policy</x:v>
      </x:c>
      <x:c r="E28" s="43" t="str">
        <x:v>PRA-06</x:v>
      </x:c>
      <x:c r="F28" s="43" t="str"/>
      <x:c r="G28" s="43" t="str"/>
      <x:c r="H28" s="43" t="str">
        <x:v>Immutable version giữ task type và score maximum.</x:v>
      </x:c>
      <x:c r="I28" s="43" t="str">
        <x:v>Medium</x:v>
      </x:c>
      <x:c r="J28" s="43" t="str">
        <x:v>Practice Writing AI</x:v>
      </x:c>
      <x:c r="K28" s="43" t="str">
        <x:v>practice</x:v>
      </x:c>
      <x:c r="L28" s="43" t="str">
        <x:v>Historical</x:v>
      </x:c>
      <x:c r="M28" s="43" t="str">
        <x:v>Done</x:v>
      </x:c>
      <x:c r="N28" s="43" t="str">
        <x:v>CODEX_PRACTICE_WORKFLOW.md §Phase 6</x:v>
      </x:c>
    </x:row>
    <x:row r="29" ht="54" customHeight="1">
      <x:c r="A29" s="43" t="str">
        <x:v>PRA-06-T03</x:v>
      </x:c>
      <x:c r="B29" s="43" t="str">
        <x:v>Optional-History</x:v>
      </x:c>
      <x:c r="C29" s="43" t="str">
        <x:v>Task</x:v>
      </x:c>
      <x:c r="D29" s="43" t="str">
        <x:v>Validate import, publish and scoring usage</x:v>
      </x:c>
      <x:c r="E29" s="43" t="str">
        <x:v>PRA-06</x:v>
      </x:c>
      <x:c r="F29" s="43" t="str"/>
      <x:c r="G29" s="43" t="str"/>
      <x:c r="H29" s="43" t="str">
        <x:v>Invalid task/points bị reject trước publish.</x:v>
      </x:c>
      <x:c r="I29" s="43" t="str">
        <x:v>Medium</x:v>
      </x:c>
      <x:c r="J29" s="43" t="str">
        <x:v>Practice Writing AI</x:v>
      </x:c>
      <x:c r="K29" s="43" t="str">
        <x:v>practice</x:v>
      </x:c>
      <x:c r="L29" s="43" t="str">
        <x:v>Historical</x:v>
      </x:c>
      <x:c r="M29" s="43" t="str">
        <x:v>Done</x:v>
      </x:c>
      <x:c r="N29" s="43" t="str">
        <x:v>CODEX_PRACTICE_WORKFLOW.md §Phase 6</x:v>
      </x:c>
    </x:row>
    <x:row r="30" ht="54" customHeight="1">
      <x:c r="A30" s="43" t="str">
        <x:v>PRA-07</x:v>
      </x:c>
      <x:c r="B30" s="43" t="str">
        <x:v>Optional-History</x:v>
      </x:c>
      <x:c r="C30" s="43" t="str">
        <x:v>Epic</x:v>
      </x:c>
      <x:c r="D30" s="43" t="str">
        <x:v>Cache Retention Operations</x:v>
      </x:c>
      <x:c r="E30" s="43" t="str">
        <x:v>PRA-PROGRAM</x:v>
      </x:c>
      <x:c r="F30" s="43" t="str">
        <x:v>Cache Retention Operations</x:v>
      </x:c>
      <x:c r="G30" s="43" t="str">
        <x:v>Writing logical TTL và R/L version-based retention.</x:v>
      </x:c>
      <x:c r="H30" s="43" t="str">
        <x:v>Retention có boundary; cleanup không làm mất historical evidence.</x:v>
      </x:c>
      <x:c r="I30" s="43" t="str">
        <x:v>Medium</x:v>
      </x:c>
      <x:c r="J30" s="43" t="str">
        <x:v>Practice Worker/Operations</x:v>
      </x:c>
      <x:c r="K30" s="43" t="str">
        <x:v>practice</x:v>
      </x:c>
      <x:c r="L30" s="43" t="str">
        <x:v>Historical / Phase 15 debt</x:v>
      </x:c>
      <x:c r="M30" s="43" t="str">
        <x:v>Done with Debt</x:v>
      </x:c>
      <x:c r="N30" s="43" t="str">
        <x:v>CODEX_PRACTICE_WORKFLOW.md §Phase 7</x:v>
      </x:c>
    </x:row>
    <x:row r="31" ht="54" customHeight="1">
      <x:c r="A31" s="43" t="str">
        <x:v>PRA-07-T01</x:v>
      </x:c>
      <x:c r="B31" s="43" t="str">
        <x:v>Optional-History</x:v>
      </x:c>
      <x:c r="C31" s="43" t="str">
        <x:v>Task</x:v>
      </x:c>
      <x:c r="D31" s="43" t="str">
        <x:v>Writing cache logical TTL</x:v>
      </x:c>
      <x:c r="E31" s="43" t="str">
        <x:v>PRA-07</x:v>
      </x:c>
      <x:c r="F31" s="43" t="str"/>
      <x:c r="G31" s="43" t="str"/>
      <x:c r="H31" s="43" t="str">
        <x:v>Expired rows không được dùng cho evaluation mới.</x:v>
      </x:c>
      <x:c r="I31" s="43" t="str">
        <x:v>Medium</x:v>
      </x:c>
      <x:c r="J31" s="43" t="str">
        <x:v>Practice Worker/Operations</x:v>
      </x:c>
      <x:c r="K31" s="43" t="str">
        <x:v>practice</x:v>
      </x:c>
      <x:c r="L31" s="43" t="str">
        <x:v>Historical / Phase 15 debt</x:v>
      </x:c>
      <x:c r="M31" s="43" t="str">
        <x:v>Done with Debt</x:v>
      </x:c>
      <x:c r="N31" s="43" t="str">
        <x:v>CODEX_PRACTICE_WORKFLOW.md §Phase 7</x:v>
      </x:c>
    </x:row>
    <x:row r="32" ht="54" customHeight="1">
      <x:c r="A32" s="43" t="str">
        <x:v>PRA-07-T02</x:v>
      </x:c>
      <x:c r="B32" s="43" t="str">
        <x:v>Optional-History</x:v>
      </x:c>
      <x:c r="C32" s="43" t="str">
        <x:v>Task</x:v>
      </x:c>
      <x:c r="D32" s="43" t="str">
        <x:v>R/L version-based retention</x:v>
      </x:c>
      <x:c r="E32" s="43" t="str">
        <x:v>PRA-07</x:v>
      </x:c>
      <x:c r="F32" s="43" t="str"/>
      <x:c r="G32" s="43" t="str"/>
      <x:c r="H32" s="43" t="str">
        <x:v>Historical attempt không mất explanation evidence.</x:v>
      </x:c>
      <x:c r="I32" s="43" t="str">
        <x:v>Medium</x:v>
      </x:c>
      <x:c r="J32" s="43" t="str">
        <x:v>Practice Worker/Operations</x:v>
      </x:c>
      <x:c r="K32" s="43" t="str">
        <x:v>practice</x:v>
      </x:c>
      <x:c r="L32" s="43" t="str">
        <x:v>Historical / Phase 15 debt</x:v>
      </x:c>
      <x:c r="M32" s="43" t="str">
        <x:v>Done with Debt</x:v>
      </x:c>
      <x:c r="N32" s="43" t="str">
        <x:v>CODEX_PRACTICE_WORKFLOW.md §Phase 7</x:v>
      </x:c>
    </x:row>
    <x:row r="33" ht="54" customHeight="1">
      <x:c r="A33" s="43" t="str">
        <x:v>PRA-07-T03</x:v>
      </x:c>
      <x:c r="B33" s="43" t="str">
        <x:v>Yes</x:v>
      </x:c>
      <x:c r="C33" s="43" t="str">
        <x:v>Task</x:v>
      </x:c>
      <x:c r="D33" s="43" t="str">
        <x:v>Route bounded cleanup and fail-closed hash debt</x:v>
      </x:c>
      <x:c r="E33" s="43" t="str">
        <x:v>PRA-07</x:v>
      </x:c>
      <x:c r="F33" s="43" t="str"/>
      <x:c r="G33" s="43" t="str"/>
      <x:c r="H33" s="43" t="str">
        <x:v>Cleanup bounded; SHA-256 failure bypasses cache hoặc fails closed.</x:v>
      </x:c>
      <x:c r="I33" s="43" t="str">
        <x:v>High</x:v>
      </x:c>
      <x:c r="J33" s="43" t="str">
        <x:v>Practice Worker/Operations</x:v>
      </x:c>
      <x:c r="K33" s="43" t="str">
        <x:v>practice</x:v>
      </x:c>
      <x:c r="L33" s="43" t="str">
        <x:v>Historical / Phase 15 debt</x:v>
      </x:c>
      <x:c r="M33" s="43" t="str">
        <x:v>Backlog</x:v>
      </x:c>
      <x:c r="N33" s="43" t="str">
        <x:v>CODEX_PRACTICE_WORKFLOW.md §Phase 7</x:v>
      </x:c>
    </x:row>
    <x:row r="34" ht="54" customHeight="1">
      <x:c r="A34" s="43" t="str">
        <x:v>PRA-08B</x:v>
      </x:c>
      <x:c r="B34" s="43" t="str">
        <x:v>Optional-History</x:v>
      </x:c>
      <x:c r="C34" s="43" t="str">
        <x:v>Epic</x:v>
      </x:c>
      <x:c r="D34" s="43" t="str">
        <x:v>Text Speaking</x:v>
      </x:c>
      <x:c r="E34" s="43" t="str">
        <x:v>PRA-PROGRAM</x:v>
      </x:c>
      <x:c r="F34" s="43" t="str">
        <x:v>Text Speaking</x:v>
      </x:c>
      <x:c r="G34" s="43" t="str">
        <x:v>Text-based Speaking foundation.</x:v>
      </x:c>
      <x:c r="H34" s="43" t="str">
        <x:v>Typed result và safe internal workflow.</x:v>
      </x:c>
      <x:c r="I34" s="43" t="str">
        <x:v>Medium</x:v>
      </x:c>
      <x:c r="J34" s="43" t="str">
        <x:v>Practice Speaking AI</x:v>
      </x:c>
      <x:c r="K34" s="43" t="str">
        <x:v>practice</x:v>
      </x:c>
      <x:c r="L34" s="43" t="str">
        <x:v>Historical</x:v>
      </x:c>
      <x:c r="M34" s="43" t="str">
        <x:v>Done</x:v>
      </x:c>
      <x:c r="N34" s="43" t="str">
        <x:v>CODEX_PRACTICE_WORKFLOW.md §Phase 8B</x:v>
      </x:c>
    </x:row>
    <x:row r="35" ht="54" customHeight="1">
      <x:c r="A35" s="43" t="str">
        <x:v>PRA-08B-T01</x:v>
      </x:c>
      <x:c r="B35" s="43" t="str">
        <x:v>Optional-History</x:v>
      </x:c>
      <x:c r="C35" s="43" t="str">
        <x:v>Task</x:v>
      </x:c>
      <x:c r="D35" s="43" t="str">
        <x:v>Text Speaking evaluation contract</x:v>
      </x:c>
      <x:c r="E35" s="43" t="str">
        <x:v>PRA-08B</x:v>
      </x:c>
      <x:c r="F35" s="43" t="str"/>
      <x:c r="G35" s="43" t="str"/>
      <x:c r="H35" s="43" t="str">
        <x:v>Input, rubric và output schema rõ ràng.</x:v>
      </x:c>
      <x:c r="I35" s="43" t="str">
        <x:v>Medium</x:v>
      </x:c>
      <x:c r="J35" s="43" t="str">
        <x:v>Practice Speaking AI</x:v>
      </x:c>
      <x:c r="K35" s="43" t="str">
        <x:v>practice</x:v>
      </x:c>
      <x:c r="L35" s="43" t="str">
        <x:v>Historical</x:v>
      </x:c>
      <x:c r="M35" s="43" t="str">
        <x:v>Done</x:v>
      </x:c>
      <x:c r="N35" s="43" t="str">
        <x:v>CODEX_PRACTICE_WORKFLOW.md §Phase 8B</x:v>
      </x:c>
    </x:row>
    <x:row r="36" ht="54" customHeight="1">
      <x:c r="A36" s="43" t="str">
        <x:v>PRA-08B-T02</x:v>
      </x:c>
      <x:c r="B36" s="43" t="str">
        <x:v>Optional-History</x:v>
      </x:c>
      <x:c r="C36" s="43" t="str">
        <x:v>Task</x:v>
      </x:c>
      <x:c r="D36" s="43" t="str">
        <x:v>Text Speaking result integration</x:v>
      </x:c>
      <x:c r="E36" s="43" t="str">
        <x:v>PRA-08B</x:v>
      </x:c>
      <x:c r="F36" s="43" t="str"/>
      <x:c r="G36" s="43" t="str"/>
      <x:c r="H36" s="43" t="str">
        <x:v>Không claim acoustic evidence.</x:v>
      </x:c>
      <x:c r="I36" s="43" t="str">
        <x:v>Medium</x:v>
      </x:c>
      <x:c r="J36" s="43" t="str">
        <x:v>Practice Speaking AI</x:v>
      </x:c>
      <x:c r="K36" s="43" t="str">
        <x:v>practice</x:v>
      </x:c>
      <x:c r="L36" s="43" t="str">
        <x:v>Historical</x:v>
      </x:c>
      <x:c r="M36" s="43" t="str">
        <x:v>Done</x:v>
      </x:c>
      <x:c r="N36" s="43" t="str">
        <x:v>CODEX_PRACTICE_WORKFLOW.md §Phase 8B</x:v>
      </x:c>
    </x:row>
    <x:row r="37" ht="54" customHeight="1">
      <x:c r="A37" s="43" t="str">
        <x:v>PRA-08C</x:v>
      </x:c>
      <x:c r="B37" s="43" t="str">
        <x:v>Optional-History</x:v>
      </x:c>
      <x:c r="C37" s="43" t="str">
        <x:v>Epic</x:v>
      </x:c>
      <x:c r="D37" s="43" t="str">
        <x:v>Writing Rubric, Criteria &amp; Calibration</x:v>
      </x:c>
      <x:c r="E37" s="43" t="str">
        <x:v>PRA-PROGRAM</x:v>
      </x:c>
      <x:c r="F37" s="43" t="str">
        <x:v>Writing Rubric, Criteria &amp; Calibration</x:v>
      </x:c>
      <x:c r="G37" s="43" t="str">
        <x:v>Writing rubric/criteria, scoring matrix và calibration boundary.</x:v>
      </x:c>
      <x:c r="H37" s="43" t="str">
        <x:v>Internal KSH scoring; no official TOPIK-equivalence claim.</x:v>
      </x:c>
      <x:c r="I37" s="43" t="str">
        <x:v>Medium</x:v>
      </x:c>
      <x:c r="J37" s="43" t="str">
        <x:v>Practice Writing AI</x:v>
      </x:c>
      <x:c r="K37" s="43" t="str">
        <x:v>practice</x:v>
      </x:c>
      <x:c r="L37" s="43" t="str">
        <x:v>Historical / Phase 15D debt</x:v>
      </x:c>
      <x:c r="M37" s="43" t="str">
        <x:v>Done with Debt</x:v>
      </x:c>
      <x:c r="N37" s="43" t="str">
        <x:v>CODEX_PRACTICE_WORKFLOW.md §Phase 8C</x:v>
      </x:c>
    </x:row>
    <x:row r="38" ht="54" customHeight="1">
      <x:c r="A38" s="43" t="str">
        <x:v>PRA-08C-T01</x:v>
      </x:c>
      <x:c r="B38" s="43" t="str">
        <x:v>Optional-History</x:v>
      </x:c>
      <x:c r="C38" s="43" t="str">
        <x:v>Task</x:v>
      </x:c>
      <x:c r="D38" s="43" t="str">
        <x:v>Writing rubric and criteria contract</x:v>
      </x:c>
      <x:c r="E38" s="43" t="str">
        <x:v>PRA-08C</x:v>
      </x:c>
      <x:c r="F38" s="43" t="str"/>
      <x:c r="G38" s="43" t="str"/>
      <x:c r="H38" s="43" t="str">
        <x:v>Criteria/weights/version được typed.</x:v>
      </x:c>
      <x:c r="I38" s="43" t="str">
        <x:v>Medium</x:v>
      </x:c>
      <x:c r="J38" s="43" t="str">
        <x:v>Practice Writing AI</x:v>
      </x:c>
      <x:c r="K38" s="43" t="str">
        <x:v>practice</x:v>
      </x:c>
      <x:c r="L38" s="43" t="str">
        <x:v>Historical / Phase 15D debt</x:v>
      </x:c>
      <x:c r="M38" s="43" t="str">
        <x:v>Done with Debt</x:v>
      </x:c>
      <x:c r="N38" s="43" t="str">
        <x:v>CODEX_PRACTICE_WORKFLOW.md §Phase 8C</x:v>
      </x:c>
    </x:row>
    <x:row r="39" ht="54" customHeight="1">
      <x:c r="A39" s="43" t="str">
        <x:v>PRA-08C-T02</x:v>
      </x:c>
      <x:c r="B39" s="43" t="str">
        <x:v>Optional-History</x:v>
      </x:c>
      <x:c r="C39" s="43" t="str">
        <x:v>Task</x:v>
      </x:c>
      <x:c r="D39" s="43" t="str">
        <x:v>Writing task-native score matrix</x:v>
      </x:c>
      <x:c r="E39" s="43" t="str">
        <x:v>PRA-08C</x:v>
      </x:c>
      <x:c r="F39" s="43" t="str"/>
      <x:c r="G39" s="43" t="str"/>
      <x:c r="H39" s="43" t="str">
        <x:v>Q51/Q52/Q53/Q54 dùng đúng maximum và rubric.</x:v>
      </x:c>
      <x:c r="I39" s="43" t="str">
        <x:v>Medium</x:v>
      </x:c>
      <x:c r="J39" s="43" t="str">
        <x:v>Practice Writing AI</x:v>
      </x:c>
      <x:c r="K39" s="43" t="str">
        <x:v>practice</x:v>
      </x:c>
      <x:c r="L39" s="43" t="str">
        <x:v>Historical / Phase 15D debt</x:v>
      </x:c>
      <x:c r="M39" s="43" t="str">
        <x:v>Done with Debt</x:v>
      </x:c>
      <x:c r="N39" s="43" t="str">
        <x:v>CODEX_PRACTICE_WORKFLOW.md §Phase 8C</x:v>
      </x:c>
    </x:row>
    <x:row r="40" ht="54" customHeight="1">
      <x:c r="A40" s="43" t="str">
        <x:v>PRA-08C-T03</x:v>
      </x:c>
      <x:c r="B40" s="43" t="str">
        <x:v>Yes</x:v>
      </x:c>
      <x:c r="C40" s="43" t="str">
        <x:v>Task</x:v>
      </x:c>
      <x:c r="D40" s="43" t="str">
        <x:v>Teacher-reviewed calibration debt</x:v>
      </x:c>
      <x:c r="E40" s="43" t="str">
        <x:v>PRA-08C</x:v>
      </x:c>
      <x:c r="F40" s="43" t="str"/>
      <x:c r="G40" s="43" t="str"/>
      <x:c r="H40" s="43" t="str">
        <x:v>Teacher-reviewed fixtures và repeated-provider consistency.</x:v>
      </x:c>
      <x:c r="I40" s="43" t="str">
        <x:v>High</x:v>
      </x:c>
      <x:c r="J40" s="43" t="str">
        <x:v>Practice Writing AI</x:v>
      </x:c>
      <x:c r="K40" s="43" t="str">
        <x:v>practice</x:v>
      </x:c>
      <x:c r="L40" s="43" t="str">
        <x:v>Historical / Phase 15D debt</x:v>
      </x:c>
      <x:c r="M40" s="43" t="str">
        <x:v>Backlog</x:v>
      </x:c>
      <x:c r="N40" s="43" t="str">
        <x:v>CODEX_PRACTICE_WORKFLOW.md §Phase 8C</x:v>
      </x:c>
    </x:row>
    <x:row r="41" ht="54" customHeight="1">
      <x:c r="A41" s="43" t="str">
        <x:v>PRA-08D</x:v>
      </x:c>
      <x:c r="B41" s="43" t="str">
        <x:v>Optional-History</x:v>
      </x:c>
      <x:c r="C41" s="43" t="str">
        <x:v>Epic</x:v>
      </x:c>
      <x:c r="D41" s="43" t="str">
        <x:v>Speaking Audio &amp; Media</x:v>
      </x:c>
      <x:c r="E41" s="43" t="str">
        <x:v>PRA-PROGRAM</x:v>
      </x:c>
      <x:c r="F41" s="43" t="str">
        <x:v>Speaking Audio &amp; Media</x:v>
      </x:c>
      <x:c r="G41" s="43" t="str">
        <x:v>Audio upload, recording, private playback, cleanup và storage foundation.</x:v>
      </x:c>
      <x:c r="H41" s="43" t="str">
        <x:v>Private media contract hoạt động; production object storage vẫn là release debt.</x:v>
      </x:c>
      <x:c r="I41" s="43" t="str">
        <x:v>Medium</x:v>
      </x:c>
      <x:c r="J41" s="43" t="str">
        <x:v>Practice Media/Storage</x:v>
      </x:c>
      <x:c r="K41" s="43" t="str">
        <x:v>practice</x:v>
      </x:c>
      <x:c r="L41" s="43" t="str">
        <x:v>Historical / Phase 15E debt</x:v>
      </x:c>
      <x:c r="M41" s="43" t="str">
        <x:v>Done with Debt</x:v>
      </x:c>
      <x:c r="N41" s="43" t="str">
        <x:v>CODEX_PRACTICE_WORKFLOW.md §Phase 8D</x:v>
      </x:c>
    </x:row>
    <x:row r="42" ht="54" customHeight="1">
      <x:c r="A42" s="43" t="str">
        <x:v>PRA-08D-A</x:v>
      </x:c>
      <x:c r="B42" s="43" t="str">
        <x:v>Optional-History</x:v>
      </x:c>
      <x:c r="C42" s="43" t="str">
        <x:v>Task</x:v>
      </x:c>
      <x:c r="D42" s="43" t="str">
        <x:v>Speaking audio/media baseline audit</x:v>
      </x:c>
      <x:c r="E42" s="43" t="str">
        <x:v>PRA-08D</x:v>
      </x:c>
      <x:c r="F42" s="43" t="str"/>
      <x:c r="G42" s="43" t="str"/>
      <x:c r="H42" s="43" t="str">
        <x:v>Foundation và accepted debt được inventory.</x:v>
      </x:c>
      <x:c r="I42" s="43" t="str">
        <x:v>Medium</x:v>
      </x:c>
      <x:c r="J42" s="43" t="str">
        <x:v>Practice Media/Storage</x:v>
      </x:c>
      <x:c r="K42" s="43" t="str">
        <x:v>practice</x:v>
      </x:c>
      <x:c r="L42" s="43" t="str">
        <x:v>Historical / Phase 15E debt</x:v>
      </x:c>
      <x:c r="M42" s="43" t="str">
        <x:v>Done with Debt</x:v>
      </x:c>
      <x:c r="N42" s="43" t="str">
        <x:v>CODEX_PRACTICE_WORKFLOW.md §Phase 8D</x:v>
      </x:c>
    </x:row>
    <x:row r="43" ht="54" customHeight="1">
      <x:c r="A43" s="43" t="str">
        <x:v>PRA-08D-B</x:v>
      </x:c>
      <x:c r="B43" s="43" t="str">
        <x:v>Optional-History</x:v>
      </x:c>
      <x:c r="C43" s="43" t="str">
        <x:v>Task</x:v>
      </x:c>
      <x:c r="D43" s="43" t="str">
        <x:v>Speaking audio upload/delete contract</x:v>
      </x:c>
      <x:c r="E43" s="43" t="str">
        <x:v>PRA-08D</x:v>
      </x:c>
      <x:c r="F43" s="43" t="str"/>
      <x:c r="G43" s="43" t="str"/>
      <x:c r="H43" s="43" t="str">
        <x:v>Safe metadata response; no storage path leak.</x:v>
      </x:c>
      <x:c r="I43" s="43" t="str">
        <x:v>Medium</x:v>
      </x:c>
      <x:c r="J43" s="43" t="str">
        <x:v>Practice Media/Storage</x:v>
      </x:c>
      <x:c r="K43" s="43" t="str">
        <x:v>practice</x:v>
      </x:c>
      <x:c r="L43" s="43" t="str">
        <x:v>Historical / Phase 15E debt</x:v>
      </x:c>
      <x:c r="M43" s="43" t="str">
        <x:v>Done with Debt</x:v>
      </x:c>
      <x:c r="N43" s="43" t="str">
        <x:v>CODEX_PRACTICE_WORKFLOW.md §Phase 8D</x:v>
      </x:c>
    </x:row>
    <x:row r="44" ht="54" customHeight="1">
      <x:c r="A44" s="43" t="str">
        <x:v>PRA-08D-C</x:v>
      </x:c>
      <x:c r="B44" s="43" t="str">
        <x:v>Optional-History</x:v>
      </x:c>
      <x:c r="C44" s="43" t="str">
        <x:v>Task</x:v>
      </x:c>
      <x:c r="D44" s="43" t="str">
        <x:v>Browser recording and functional audio UI</x:v>
      </x:c>
      <x:c r="E44" s="43" t="str">
        <x:v>PRA-08D</x:v>
      </x:c>
      <x:c r="F44" s="43" t="str"/>
      <x:c r="G44" s="43" t="str"/>
      <x:c r="H44" s="43" t="str">
        <x:v>Consent, upload, retry, delete và re-record states.</x:v>
      </x:c>
      <x:c r="I44" s="43" t="str">
        <x:v>Medium</x:v>
      </x:c>
      <x:c r="J44" s="43" t="str">
        <x:v>Practice Media/Storage</x:v>
      </x:c>
      <x:c r="K44" s="43" t="str">
        <x:v>practice</x:v>
      </x:c>
      <x:c r="L44" s="43" t="str">
        <x:v>Historical / Phase 15E debt</x:v>
      </x:c>
      <x:c r="M44" s="43" t="str">
        <x:v>Done with Debt</x:v>
      </x:c>
      <x:c r="N44" s="43" t="str">
        <x:v>CODEX_PRACTICE_WORKFLOW.md §Phase 8D</x:v>
      </x:c>
    </x:row>
    <x:row r="45" ht="54" customHeight="1">
      <x:c r="A45" s="43" t="str">
        <x:v>PRA-08D-D</x:v>
      </x:c>
      <x:c r="B45" s="43" t="str">
        <x:v>Optional-History</x:v>
      </x:c>
      <x:c r="C45" s="43" t="str">
        <x:v>Task</x:v>
      </x:c>
      <x:c r="D45" s="43" t="str">
        <x:v>Private Range playback</x:v>
      </x:c>
      <x:c r="E45" s="43" t="str">
        <x:v>PRA-08D</x:v>
      </x:c>
      <x:c r="F45" s="43" t="str"/>
      <x:c r="G45" s="43" t="str"/>
      <x:c r="H45" s="43" t="str">
        <x:v>Authorized byte-range seeking/reload.</x:v>
      </x:c>
      <x:c r="I45" s="43" t="str">
        <x:v>Medium</x:v>
      </x:c>
      <x:c r="J45" s="43" t="str">
        <x:v>Practice Media/Storage</x:v>
      </x:c>
      <x:c r="K45" s="43" t="str">
        <x:v>practice</x:v>
      </x:c>
      <x:c r="L45" s="43" t="str">
        <x:v>Historical / Phase 15E debt</x:v>
      </x:c>
      <x:c r="M45" s="43" t="str">
        <x:v>Done with Debt</x:v>
      </x:c>
      <x:c r="N45" s="43" t="str">
        <x:v>CODEX_PRACTICE_WORKFLOW.md §Phase 8D</x:v>
      </x:c>
    </x:row>
    <x:row r="46" ht="54" customHeight="1">
      <x:c r="A46" s="43" t="str">
        <x:v>PRA-08D-E</x:v>
      </x:c>
      <x:c r="B46" s="43" t="str">
        <x:v>Optional-History</x:v>
      </x:c>
      <x:c r="C46" s="43" t="str">
        <x:v>Task</x:v>
      </x:c>
      <x:c r="D46" s="43" t="str">
        <x:v>Cleanup worker and retention</x:v>
      </x:c>
      <x:c r="E46" s="43" t="str">
        <x:v>PRA-08D</x:v>
      </x:c>
      <x:c r="F46" s="43" t="str"/>
      <x:c r="G46" s="43" t="str"/>
      <x:c r="H46" s="43" t="str">
        <x:v>Bounded due batches và 24-hour discarded-media retention.</x:v>
      </x:c>
      <x:c r="I46" s="43" t="str">
        <x:v>Medium</x:v>
      </x:c>
      <x:c r="J46" s="43" t="str">
        <x:v>Practice Media/Storage</x:v>
      </x:c>
      <x:c r="K46" s="43" t="str">
        <x:v>practice</x:v>
      </x:c>
      <x:c r="L46" s="43" t="str">
        <x:v>Historical / Phase 15E debt</x:v>
      </x:c>
      <x:c r="M46" s="43" t="str">
        <x:v>Done with Debt</x:v>
      </x:c>
      <x:c r="N46" s="43" t="str">
        <x:v>CODEX_PRACTICE_WORKFLOW.md §Phase 8D</x:v>
      </x:c>
    </x:row>
    <x:row r="47" ht="54" customHeight="1">
      <x:c r="A47" s="43" t="str">
        <x:v>PRA-08D-F</x:v>
      </x:c>
      <x:c r="B47" s="43" t="str">
        <x:v>Yes</x:v>
      </x:c>
      <x:c r="C47" s="43" t="str">
        <x:v>Task</x:v>
      </x:c>
      <x:c r="D47" s="43" t="str">
        <x:v>Production object storage</x:v>
      </x:c>
      <x:c r="E47" s="43" t="str">
        <x:v>PRA-08D</x:v>
      </x:c>
      <x:c r="F47" s="43" t="str"/>
      <x:c r="G47" s="43" t="str"/>
      <x:c r="H47" s="43" t="str">
        <x:v>R2 adapter, migration, rollback, private access và multi-node reconciliation.</x:v>
      </x:c>
      <x:c r="I47" s="43" t="str">
        <x:v>High</x:v>
      </x:c>
      <x:c r="J47" s="43" t="str">
        <x:v>Practice Media/Storage</x:v>
      </x:c>
      <x:c r="K47" s="43" t="str">
        <x:v>practice</x:v>
      </x:c>
      <x:c r="L47" s="43" t="str">
        <x:v>Historical / Phase 15E debt</x:v>
      </x:c>
      <x:c r="M47" s="43" t="str">
        <x:v>Backlog</x:v>
      </x:c>
      <x:c r="N47" s="43" t="str">
        <x:v>CODEX_PRACTICE_WORKFLOW.md §Phase 8D</x:v>
      </x:c>
    </x:row>
    <x:row r="48" ht="54" customHeight="1">
      <x:c r="A48" s="43" t="str">
        <x:v>PRA-08E</x:v>
      </x:c>
      <x:c r="B48" s="43" t="str">
        <x:v>Optional-History</x:v>
      </x:c>
      <x:c r="C48" s="43" t="str">
        <x:v>Epic</x:v>
      </x:c>
      <x:c r="D48" s="43" t="str">
        <x:v>Speaking AI Evaluation</x:v>
      </x:c>
      <x:c r="E48" s="43" t="str">
        <x:v>PRA-PROGRAM</x:v>
      </x:c>
      <x:c r="F48" s="43" t="str">
        <x:v>Speaking AI Evaluation</x:v>
      </x:c>
      <x:c r="G48" s="43" t="str">
        <x:v>Schema, transcription, evaluator, persistence, result và reuse foundation.</x:v>
      </x:c>
      <x:c r="H48" s="43" t="str">
        <x:v>Foundation tồn tại nhưng rollout live bị chặn khi evaluator chưa nhận learner audio.</x:v>
      </x:c>
      <x:c r="I48" s="43" t="str">
        <x:v>Highest</x:v>
      </x:c>
      <x:c r="J48" s="43" t="str">
        <x:v>Practice Speaking AI</x:v>
      </x:c>
      <x:c r="K48" s="43" t="str">
        <x:v>practice</x:v>
      </x:c>
      <x:c r="L48" s="43" t="str">
        <x:v>Historical / Phase 15D-15E blocker</x:v>
      </x:c>
      <x:c r="M48" s="43" t="str">
        <x:v>Done with Debt</x:v>
      </x:c>
      <x:c r="N48" s="43" t="str">
        <x:v>CODEX_PRACTICE_WORKFLOW.md §Phase 8E</x:v>
      </x:c>
    </x:row>
    <x:row r="49" ht="54" customHeight="1">
      <x:c r="A49" s="43" t="str">
        <x:v>PRA-08E-A</x:v>
      </x:c>
      <x:c r="B49" s="43" t="str">
        <x:v>Optional-History</x:v>
      </x:c>
      <x:c r="C49" s="43" t="str">
        <x:v>Task</x:v>
      </x:c>
      <x:c r="D49" s="43" t="str">
        <x:v>Speaking schema, status and normalizer</x:v>
      </x:c>
      <x:c r="E49" s="43" t="str">
        <x:v>PRA-08E</x:v>
      </x:c>
      <x:c r="F49" s="43" t="str"/>
      <x:c r="G49" s="43" t="str"/>
      <x:c r="H49" s="43" t="str">
        <x:v>Six-rubric typed result, range validation và honest availability.</x:v>
      </x:c>
      <x:c r="I49" s="43" t="str">
        <x:v>Medium</x:v>
      </x:c>
      <x:c r="J49" s="43" t="str">
        <x:v>Practice Speaking AI</x:v>
      </x:c>
      <x:c r="K49" s="43" t="str">
        <x:v>practice</x:v>
      </x:c>
      <x:c r="L49" s="43" t="str">
        <x:v>Historical / Phase 15D-15E blocker</x:v>
      </x:c>
      <x:c r="M49" s="43" t="str">
        <x:v>Done with Debt</x:v>
      </x:c>
      <x:c r="N49" s="43" t="str">
        <x:v>CODEX_PRACTICE_WORKFLOW.md §Phase 8E</x:v>
      </x:c>
    </x:row>
    <x:row r="50" ht="54" customHeight="1">
      <x:c r="A50" s="43" t="str">
        <x:v>PRA-08E-B</x:v>
      </x:c>
      <x:c r="B50" s="43" t="str">
        <x:v>Optional-History</x:v>
      </x:c>
      <x:c r="C50" s="43" t="str">
        <x:v>Task</x:v>
      </x:c>
      <x:c r="D50" s="43" t="str">
        <x:v>Korean transcription abstraction</x:v>
      </x:c>
      <x:c r="E50" s="43" t="str">
        <x:v>PRA-08E</x:v>
      </x:c>
      <x:c r="F50" s="43" t="str"/>
      <x:c r="G50" s="43" t="str"/>
      <x:c r="H50" s="43" t="str">
        <x:v>Retryable error mapping, confidence metadata và safe payload.</x:v>
      </x:c>
      <x:c r="I50" s="43" t="str">
        <x:v>Medium</x:v>
      </x:c>
      <x:c r="J50" s="43" t="str">
        <x:v>Practice Speaking AI</x:v>
      </x:c>
      <x:c r="K50" s="43" t="str">
        <x:v>practice</x:v>
      </x:c>
      <x:c r="L50" s="43" t="str">
        <x:v>Historical / Phase 15D-15E blocker</x:v>
      </x:c>
      <x:c r="M50" s="43" t="str">
        <x:v>Done with Debt</x:v>
      </x:c>
      <x:c r="N50" s="43" t="str">
        <x:v>CODEX_PRACTICE_WORKFLOW.md §Phase 8E</x:v>
      </x:c>
    </x:row>
    <x:row r="51" ht="54" customHeight="1">
      <x:c r="A51" s="43" t="str">
        <x:v>PRA-08E-C</x:v>
      </x:c>
      <x:c r="B51" s="43" t="str">
        <x:v>Optional-History</x:v>
      </x:c>
      <x:c r="C51" s="43" t="str">
        <x:v>Task</x:v>
      </x:c>
      <x:c r="D51" s="43" t="str">
        <x:v>Fixed-schema evaluator provider integration</x:v>
      </x:c>
      <x:c r="E51" s="43" t="str">
        <x:v>PRA-08E</x:v>
      </x:c>
      <x:c r="F51" s="43" t="str"/>
      <x:c r="G51" s="43" t="str"/>
      <x:c r="H51" s="43" t="str">
        <x:v>Validated provider response; no raw-body persistence.</x:v>
      </x:c>
      <x:c r="I51" s="43" t="str">
        <x:v>Medium</x:v>
      </x:c>
      <x:c r="J51" s="43" t="str">
        <x:v>Practice Speaking AI</x:v>
      </x:c>
      <x:c r="K51" s="43" t="str">
        <x:v>practice</x:v>
      </x:c>
      <x:c r="L51" s="43" t="str">
        <x:v>Historical / Phase 15D-15E blocker</x:v>
      </x:c>
      <x:c r="M51" s="43" t="str">
        <x:v>Done with Debt</x:v>
      </x:c>
      <x:c r="N51" s="43" t="str">
        <x:v>CODEX_PRACTICE_WORKFLOW.md §Phase 8E</x:v>
      </x:c>
    </x:row>
    <x:row r="52" ht="54" customHeight="1">
      <x:c r="A52" s="43" t="str">
        <x:v>PRA-08E-CW</x:v>
      </x:c>
      <x:c r="B52" s="43" t="str">
        <x:v>Optional-History</x:v>
      </x:c>
      <x:c r="C52" s="43" t="str">
        <x:v>Task</x:v>
      </x:c>
      <x:c r="D52" s="43" t="str">
        <x:v>Writing scale consistency follow-up</x:v>
      </x:c>
      <x:c r="E52" s="43" t="str">
        <x:v>PRA-08E</x:v>
      </x:c>
      <x:c r="F52" s="43" t="str"/>
      <x:c r="G52" s="43" t="str"/>
      <x:c r="H52" s="43" t="str">
        <x:v>Stored/display scale thống nhất.</x:v>
      </x:c>
      <x:c r="I52" s="43" t="str">
        <x:v>Medium</x:v>
      </x:c>
      <x:c r="J52" s="43" t="str">
        <x:v>Practice Speaking AI</x:v>
      </x:c>
      <x:c r="K52" s="43" t="str">
        <x:v>practice</x:v>
      </x:c>
      <x:c r="L52" s="43" t="str">
        <x:v>Historical / Phase 15D-15E blocker</x:v>
      </x:c>
      <x:c r="M52" s="43" t="str">
        <x:v>Done with Debt</x:v>
      </x:c>
      <x:c r="N52" s="43" t="str">
        <x:v>CODEX_PRACTICE_WORKFLOW.md §Phase 8E</x:v>
      </x:c>
    </x:row>
    <x:row r="53" ht="54" customHeight="1">
      <x:c r="A53" s="43" t="str">
        <x:v>PRA-08E-CW2</x:v>
      </x:c>
      <x:c r="B53" s="43" t="str">
        <x:v>Optional-History</x:v>
      </x:c>
      <x:c r="C53" s="43" t="str">
        <x:v>Task</x:v>
      </x:c>
      <x:c r="D53" s="43" t="str">
        <x:v>Writing task-native scoring matrix follow-up</x:v>
      </x:c>
      <x:c r="E53" s="43" t="str">
        <x:v>PRA-08E</x:v>
      </x:c>
      <x:c r="F53" s="43" t="str"/>
      <x:c r="G53" s="43" t="str"/>
      <x:c r="H53" s="43" t="str">
        <x:v>No double scaling.</x:v>
      </x:c>
      <x:c r="I53" s="43" t="str">
        <x:v>Medium</x:v>
      </x:c>
      <x:c r="J53" s="43" t="str">
        <x:v>Practice Speaking AI</x:v>
      </x:c>
      <x:c r="K53" s="43" t="str">
        <x:v>practice</x:v>
      </x:c>
      <x:c r="L53" s="43" t="str">
        <x:v>Historical / Phase 15D-15E blocker</x:v>
      </x:c>
      <x:c r="M53" s="43" t="str">
        <x:v>Done with Debt</x:v>
      </x:c>
      <x:c r="N53" s="43" t="str">
        <x:v>CODEX_PRACTICE_WORKFLOW.md §Phase 8E</x:v>
      </x:c>
    </x:row>
    <x:row r="54" ht="54" customHeight="1">
      <x:c r="A54" s="43" t="str">
        <x:v>PRA-08E-D</x:v>
      </x:c>
      <x:c r="B54" s="43" t="str">
        <x:v>Optional-History</x:v>
      </x:c>
      <x:c r="C54" s="43" t="str">
        <x:v>Task</x:v>
      </x:c>
      <x:c r="D54" s="43" t="str">
        <x:v>Speaking persistence and result rendering</x:v>
      </x:c>
      <x:c r="E54" s="43" t="str">
        <x:v>PRA-08E</x:v>
      </x:c>
      <x:c r="F54" s="43" t="str"/>
      <x:c r="G54" s="43" t="str"/>
      <x:c r="H54" s="43" t="str">
        <x:v>Status/result stored and rendered without mock promotion.</x:v>
      </x:c>
      <x:c r="I54" s="43" t="str">
        <x:v>Medium</x:v>
      </x:c>
      <x:c r="J54" s="43" t="str">
        <x:v>Practice Speaking AI</x:v>
      </x:c>
      <x:c r="K54" s="43" t="str">
        <x:v>practice</x:v>
      </x:c>
      <x:c r="L54" s="43" t="str">
        <x:v>Historical / Phase 15D-15E blocker</x:v>
      </x:c>
      <x:c r="M54" s="43" t="str">
        <x:v>Done with Debt</x:v>
      </x:c>
      <x:c r="N54" s="43" t="str">
        <x:v>CODEX_PRACTICE_WORKFLOW.md §Phase 8E</x:v>
      </x:c>
    </x:row>
    <x:row r="55" ht="54" customHeight="1">
      <x:c r="A55" s="43" t="str">
        <x:v>PRA-08E-E</x:v>
      </x:c>
      <x:c r="B55" s="43" t="str">
        <x:v>Optional-History</x:v>
      </x:c>
      <x:c r="C55" s="43" t="str">
        <x:v>Task</x:v>
      </x:c>
      <x:c r="D55" s="43" t="str">
        <x:v>Re-evaluation and transcript reuse</x:v>
      </x:c>
      <x:c r="E55" s="43" t="str">
        <x:v>PRA-08E</x:v>
      </x:c>
      <x:c r="F55" s="43" t="str"/>
      <x:c r="G55" s="43" t="str"/>
      <x:c r="H55" s="43" t="str">
        <x:v>Idempotent reuse; retry rebuilds media resource.</x:v>
      </x:c>
      <x:c r="I55" s="43" t="str">
        <x:v>Medium</x:v>
      </x:c>
      <x:c r="J55" s="43" t="str">
        <x:v>Practice Speaking AI</x:v>
      </x:c>
      <x:c r="K55" s="43" t="str">
        <x:v>practice</x:v>
      </x:c>
      <x:c r="L55" s="43" t="str">
        <x:v>Historical / Phase 15D-15E blocker</x:v>
      </x:c>
      <x:c r="M55" s="43" t="str">
        <x:v>Done with Debt</x:v>
      </x:c>
      <x:c r="N55" s="43" t="str">
        <x:v>CODEX_PRACTICE_WORKFLOW.md §Phase 8E</x:v>
      </x:c>
    </x:row>
    <x:row r="56" ht="54" customHeight="1">
      <x:c r="A56" s="43" t="str">
        <x:v>PRA-08E-F</x:v>
      </x:c>
      <x:c r="B56" s="43" t="str">
        <x:v>Yes</x:v>
      </x:c>
      <x:c r="C56" s="43" t="str">
        <x:v>Task</x:v>
      </x:c>
      <x:c r="D56" s="43" t="str">
        <x:v>Audio-grounded rollout blocker</x:v>
      </x:c>
      <x:c r="E56" s="43" t="str">
        <x:v>PRA-08E</x:v>
      </x:c>
      <x:c r="F56" s="43" t="str"/>
      <x:c r="G56" s="43" t="str"/>
      <x:c r="H56" s="43" t="str">
        <x:v>Evaluator payload contains audio evidence or UI labels unsupported acoustic criteria unavailable/advisory.</x:v>
      </x:c>
      <x:c r="I56" s="43" t="str">
        <x:v>Highest</x:v>
      </x:c>
      <x:c r="J56" s="43" t="str">
        <x:v>Practice Speaking AI</x:v>
      </x:c>
      <x:c r="K56" s="43" t="str">
        <x:v>practice</x:v>
      </x:c>
      <x:c r="L56" s="43" t="str">
        <x:v>Historical / Phase 15D-15E blocker</x:v>
      </x:c>
      <x:c r="M56" s="43" t="str">
        <x:v>Blocked</x:v>
      </x:c>
      <x:c r="N56" s="43" t="str">
        <x:v>CODEX_PRACTICE_WORKFLOW.md §Phase 8E</x:v>
      </x:c>
    </x:row>
    <x:row r="57" ht="54" customHeight="1">
      <x:c r="A57" s="43" t="str">
        <x:v>PRA-08F</x:v>
      </x:c>
      <x:c r="B57" s="43" t="str">
        <x:v>Optional-History</x:v>
      </x:c>
      <x:c r="C57" s="43" t="str">
        <x:v>Epic</x:v>
      </x:c>
      <x:c r="D57" s="43" t="str">
        <x:v>AI Production Hardening &amp; Rollout Readiness</x:v>
      </x:c>
      <x:c r="E57" s="43" t="str">
        <x:v>PRA-PROGRAM</x:v>
      </x:c>
      <x:c r="F57" s="43" t="str">
        <x:v>AI Production Hardening &amp; Rollout Readiness</x:v>
      </x:c>
      <x:c r="G57" s="43" t="str">
        <x:v>Readiness checks, privacy, resilience và rollout guards.</x:v>
      </x:c>
      <x:c r="H57" s="43" t="str">
        <x:v>Capability-specific rollout remains separately gated.</x:v>
      </x:c>
      <x:c r="I57" s="43" t="str">
        <x:v>Medium</x:v>
      </x:c>
      <x:c r="J57" s="43" t="str">
        <x:v>Practice Worker/Operations</x:v>
      </x:c>
      <x:c r="K57" s="43" t="str">
        <x:v>practice</x:v>
      </x:c>
      <x:c r="L57" s="43" t="str">
        <x:v>Historical / Phase 15</x:v>
      </x:c>
      <x:c r="M57" s="43" t="str">
        <x:v>Done with Debt</x:v>
      </x:c>
      <x:c r="N57" s="43" t="str">
        <x:v>CODEX_PRACTICE_WORKFLOW.md §Phase 8F</x:v>
      </x:c>
    </x:row>
    <x:row r="58" ht="54" customHeight="1">
      <x:c r="A58" s="43" t="str">
        <x:v>PRA-08F-T01</x:v>
      </x:c>
      <x:c r="B58" s="43" t="str">
        <x:v>Optional-History</x:v>
      </x:c>
      <x:c r="C58" s="43" t="str">
        <x:v>Task</x:v>
      </x:c>
      <x:c r="D58" s="43" t="str">
        <x:v>Provider readiness and feature flags</x:v>
      </x:c>
      <x:c r="E58" s="43" t="str">
        <x:v>PRA-08F</x:v>
      </x:c>
      <x:c r="F58" s="43" t="str"/>
      <x:c r="G58" s="43" t="str"/>
      <x:c r="H58" s="43" t="str">
        <x:v>Disabled-by-default unsafe capability.</x:v>
      </x:c>
      <x:c r="I58" s="43" t="str">
        <x:v>Medium</x:v>
      </x:c>
      <x:c r="J58" s="43" t="str">
        <x:v>Practice Worker/Operations</x:v>
      </x:c>
      <x:c r="K58" s="43" t="str">
        <x:v>practice</x:v>
      </x:c>
      <x:c r="L58" s="43" t="str">
        <x:v>Historical / Phase 15</x:v>
      </x:c>
      <x:c r="M58" s="43" t="str">
        <x:v>Done with Debt</x:v>
      </x:c>
      <x:c r="N58" s="43" t="str">
        <x:v>CODEX_PRACTICE_WORKFLOW.md §Phase 8F</x:v>
      </x:c>
    </x:row>
    <x:row r="59" ht="54" customHeight="1">
      <x:c r="A59" s="43" t="str">
        <x:v>PRA-08F-T02</x:v>
      </x:c>
      <x:c r="B59" s="43" t="str">
        <x:v>Optional-History</x:v>
      </x:c>
      <x:c r="C59" s="43" t="str">
        <x:v>Task</x:v>
      </x:c>
      <x:c r="D59" s="43" t="str">
        <x:v>Timeout, retry and fallback policy</x:v>
      </x:c>
      <x:c r="E59" s="43" t="str">
        <x:v>PRA-08F</x:v>
      </x:c>
      <x:c r="F59" s="43" t="str"/>
      <x:c r="G59" s="43" t="str"/>
      <x:c r="H59" s="43" t="str">
        <x:v>Bounded latency và honest failure semantics.</x:v>
      </x:c>
      <x:c r="I59" s="43" t="str">
        <x:v>Medium</x:v>
      </x:c>
      <x:c r="J59" s="43" t="str">
        <x:v>Practice Worker/Operations</x:v>
      </x:c>
      <x:c r="K59" s="43" t="str">
        <x:v>practice</x:v>
      </x:c>
      <x:c r="L59" s="43" t="str">
        <x:v>Historical / Phase 15</x:v>
      </x:c>
      <x:c r="M59" s="43" t="str">
        <x:v>Done with Debt</x:v>
      </x:c>
      <x:c r="N59" s="43" t="str">
        <x:v>CODEX_PRACTICE_WORKFLOW.md §Phase 8F</x:v>
      </x:c>
    </x:row>
    <x:row r="60" ht="54" customHeight="1">
      <x:c r="A60" s="43" t="str">
        <x:v>PRA-08F-T03</x:v>
      </x:c>
      <x:c r="B60" s="43" t="str">
        <x:v>Yes</x:v>
      </x:c>
      <x:c r="C60" s="43" t="str">
        <x:v>Task</x:v>
      </x:c>
      <x:c r="D60" s="43" t="str">
        <x:v>Calibration and operator approval debt</x:v>
      </x:c>
      <x:c r="E60" s="43" t="str">
        <x:v>PRA-08F</x:v>
      </x:c>
      <x:c r="F60" s="43" t="str"/>
      <x:c r="G60" s="43" t="str"/>
      <x:c r="H60" s="43" t="str">
        <x:v>Calibration, cost and outage runbooks approved.</x:v>
      </x:c>
      <x:c r="I60" s="43" t="str">
        <x:v>Medium</x:v>
      </x:c>
      <x:c r="J60" s="43" t="str">
        <x:v>Practice Worker/Operations</x:v>
      </x:c>
      <x:c r="K60" s="43" t="str">
        <x:v>practice</x:v>
      </x:c>
      <x:c r="L60" s="43" t="str">
        <x:v>Historical / Phase 15</x:v>
      </x:c>
      <x:c r="M60" s="43" t="str">
        <x:v>Backlog</x:v>
      </x:c>
      <x:c r="N60" s="43" t="str">
        <x:v>CODEX_PRACTICE_WORKFLOW.md §Phase 8F</x:v>
      </x:c>
    </x:row>
    <x:row r="61" ht="54" customHeight="1">
      <x:c r="A61" s="43" t="str">
        <x:v>PRA-08G</x:v>
      </x:c>
      <x:c r="B61" s="43" t="str">
        <x:v>Optional-History</x:v>
      </x:c>
      <x:c r="C61" s="43" t="str">
        <x:v>Epic</x:v>
      </x:c>
      <x:c r="D61" s="43" t="str">
        <x:v>Practice-Wide Functional UI / Integration Regression</x:v>
      </x:c>
      <x:c r="E61" s="43" t="str">
        <x:v>PRA-PROGRAM</x:v>
      </x:c>
      <x:c r="F61" s="43" t="str">
        <x:v>Practice-Wide Functional UI / Integration Regression</x:v>
      </x:c>
      <x:c r="G61" s="43" t="str">
        <x:v>Route/data binding và canonical learner navigation.</x:v>
      </x:c>
      <x:c r="H61" s="43" t="str">
        <x:v>Set/test/mode/player/result navigation thống nhất.</x:v>
      </x:c>
      <x:c r="I61" s="43" t="str">
        <x:v>Medium</x:v>
      </x:c>
      <x:c r="J61" s="43" t="str">
        <x:v>Practice Learner</x:v>
      </x:c>
      <x:c r="K61" s="43" t="str">
        <x:v>practice</x:v>
      </x:c>
      <x:c r="L61" s="43" t="str">
        <x:v>Historical</x:v>
      </x:c>
      <x:c r="M61" s="43" t="str">
        <x:v>Done</x:v>
      </x:c>
      <x:c r="N61" s="43" t="str">
        <x:v>CODEX_PRACTICE_WORKFLOW.md §Phase 8G</x:v>
      </x:c>
    </x:row>
    <x:row r="62" ht="54" customHeight="1">
      <x:c r="A62" s="43" t="str">
        <x:v>PRA-08G-T01</x:v>
      </x:c>
      <x:c r="B62" s="43" t="str">
        <x:v>Optional-History</x:v>
      </x:c>
      <x:c r="C62" s="43" t="str">
        <x:v>Task</x:v>
      </x:c>
      <x:c r="D62" s="43" t="str">
        <x:v>Canonical route and data binding</x:v>
      </x:c>
      <x:c r="E62" s="43" t="str">
        <x:v>PRA-08G</x:v>
      </x:c>
      <x:c r="F62" s="43" t="str"/>
      <x:c r="G62" s="43" t="str"/>
      <x:c r="H62" s="43" t="str">
        <x:v>Không default-test assumption.</x:v>
      </x:c>
      <x:c r="I62" s="43" t="str">
        <x:v>Medium</x:v>
      </x:c>
      <x:c r="J62" s="43" t="str">
        <x:v>Practice Learner</x:v>
      </x:c>
      <x:c r="K62" s="43" t="str">
        <x:v>practice</x:v>
      </x:c>
      <x:c r="L62" s="43" t="str">
        <x:v>Historical</x:v>
      </x:c>
      <x:c r="M62" s="43" t="str">
        <x:v>Done</x:v>
      </x:c>
      <x:c r="N62" s="43" t="str">
        <x:v>CODEX_PRACTICE_WORKFLOW.md §Phase 8G</x:v>
      </x:c>
    </x:row>
    <x:row r="63" ht="54" customHeight="1">
      <x:c r="A63" s="43" t="str">
        <x:v>PRA-08G-T02</x:v>
      </x:c>
      <x:c r="B63" s="43" t="str">
        <x:v>Optional-History</x:v>
      </x:c>
      <x:c r="C63" s="43" t="str">
        <x:v>Task</x:v>
      </x:c>
      <x:c r="D63" s="43" t="str">
        <x:v>Player and result integration regression</x:v>
      </x:c>
      <x:c r="E63" s="43" t="str">
        <x:v>PRA-08G</x:v>
      </x:c>
      <x:c r="F63" s="43" t="str"/>
      <x:c r="G63" s="43" t="str"/>
      <x:c r="H63" s="43" t="str">
        <x:v>R/L/W/S navigation đúng attempt/test identity.</x:v>
      </x:c>
      <x:c r="I63" s="43" t="str">
        <x:v>Medium</x:v>
      </x:c>
      <x:c r="J63" s="43" t="str">
        <x:v>Practice Learner</x:v>
      </x:c>
      <x:c r="K63" s="43" t="str">
        <x:v>practice</x:v>
      </x:c>
      <x:c r="L63" s="43" t="str">
        <x:v>Historical</x:v>
      </x:c>
      <x:c r="M63" s="43" t="str">
        <x:v>Done</x:v>
      </x:c>
      <x:c r="N63" s="43" t="str">
        <x:v>CODEX_PRACTICE_WORKFLOW.md §Phase 8G</x:v>
      </x:c>
    </x:row>
    <x:row r="64" ht="54" customHeight="1">
      <x:c r="A64" s="43" t="str">
        <x:v>PRA-08G-T03</x:v>
      </x:c>
      <x:c r="B64" s="43" t="str">
        <x:v>Optional-History</x:v>
      </x:c>
      <x:c r="C64" s="43" t="str">
        <x:v>Task</x:v>
      </x:c>
      <x:c r="D64" s="43" t="str">
        <x:v>Legacy redirect stabilization</x:v>
      </x:c>
      <x:c r="E64" s="43" t="str">
        <x:v>PRA-08G</x:v>
      </x:c>
      <x:c r="F64" s="43" t="str"/>
      <x:c r="G64" s="43" t="str"/>
      <x:c r="H64" s="43" t="str">
        <x:v>Redirect có caller/test hoặc được retire có chủ đích.</x:v>
      </x:c>
      <x:c r="I64" s="43" t="str">
        <x:v>Medium</x:v>
      </x:c>
      <x:c r="J64" s="43" t="str">
        <x:v>Practice Learner</x:v>
      </x:c>
      <x:c r="K64" s="43" t="str">
        <x:v>practice</x:v>
      </x:c>
      <x:c r="L64" s="43" t="str">
        <x:v>Historical</x:v>
      </x:c>
      <x:c r="M64" s="43" t="str">
        <x:v>Done</x:v>
      </x:c>
      <x:c r="N64" s="43" t="str">
        <x:v>CODEX_PRACTICE_WORKFLOW.md §Phase 8G</x:v>
      </x:c>
    </x:row>
    <x:row r="65" ht="54" customHeight="1">
      <x:c r="A65" s="43" t="str">
        <x:v>PRA-08H</x:v>
      </x:c>
      <x:c r="B65" s="43" t="str">
        <x:v>Optional-History</x:v>
      </x:c>
      <x:c r="C65" s="43" t="str">
        <x:v>Epic</x:v>
      </x:c>
      <x:c r="D65" s="43" t="str">
        <x:v>Architecture, Security Boundary &amp; Maintainability</x:v>
      </x:c>
      <x:c r="E65" s="43" t="str">
        <x:v>PRA-PROGRAM</x:v>
      </x:c>
      <x:c r="F65" s="43" t="str">
        <x:v>Architecture, Security Boundary &amp; Maintainability</x:v>
      </x:c>
      <x:c r="G65" s="43" t="str">
        <x:v>Route/view/model/form/media constants và security boundaries.</x:v>
      </x:c>
      <x:c r="H65" s="43" t="str">
        <x:v>Private media/no-leak boundary tests; no big-bang rewrite.</x:v>
      </x:c>
      <x:c r="I65" s="43" t="str">
        <x:v>Medium</x:v>
      </x:c>
      <x:c r="J65" s="43" t="str">
        <x:v>Practice Security</x:v>
      </x:c>
      <x:c r="K65" s="43" t="str">
        <x:v>practice</x:v>
      </x:c>
      <x:c r="L65" s="43" t="str">
        <x:v>Historical / incremental debt</x:v>
      </x:c>
      <x:c r="M65" s="43" t="str">
        <x:v>Done with Debt</x:v>
      </x:c>
      <x:c r="N65" s="43" t="str">
        <x:v>CODEX_PRACTICE_WORKFLOW.md §Phase 8H</x:v>
      </x:c>
    </x:row>
    <x:row r="66" ht="54" customHeight="1">
      <x:c r="A66" s="43" t="str">
        <x:v>PRA-08H-T01</x:v>
      </x:c>
      <x:c r="B66" s="43" t="str">
        <x:v>Optional-History</x:v>
      </x:c>
      <x:c r="C66" s="43" t="str">
        <x:v>Task</x:v>
      </x:c>
      <x:c r="D66" s="43" t="str">
        <x:v>Extract narrow route/view/form boundaries</x:v>
      </x:c>
      <x:c r="E66" s="43" t="str">
        <x:v>PRA-08H</x:v>
      </x:c>
      <x:c r="F66" s="43" t="str"/>
      <x:c r="G66" s="43" t="str"/>
      <x:c r="H66" s="43" t="str">
        <x:v>Constants và mapper ownership rõ ràng.</x:v>
      </x:c>
      <x:c r="I66" s="43" t="str">
        <x:v>Medium</x:v>
      </x:c>
      <x:c r="J66" s="43" t="str">
        <x:v>Practice Security</x:v>
      </x:c>
      <x:c r="K66" s="43" t="str">
        <x:v>practice</x:v>
      </x:c>
      <x:c r="L66" s="43" t="str">
        <x:v>Historical / incremental debt</x:v>
      </x:c>
      <x:c r="M66" s="43" t="str">
        <x:v>Done with Debt</x:v>
      </x:c>
      <x:c r="N66" s="43" t="str">
        <x:v>CODEX_PRACTICE_WORKFLOW.md §Phase 8H</x:v>
      </x:c>
    </x:row>
    <x:row r="67" ht="54" customHeight="1">
      <x:c r="A67" s="43" t="str">
        <x:v>PRA-08H-T02</x:v>
      </x:c>
      <x:c r="B67" s="43" t="str">
        <x:v>Optional-History</x:v>
      </x:c>
      <x:c r="C67" s="43" t="str">
        <x:v>Task</x:v>
      </x:c>
      <x:c r="D67" s="43" t="str">
        <x:v>Private media and answer no-leak tests</x:v>
      </x:c>
      <x:c r="E67" s="43" t="str">
        <x:v>PRA-08H</x:v>
      </x:c>
      <x:c r="F67" s="43" t="str"/>
      <x:c r="G67" s="43" t="str"/>
      <x:c r="H67" s="43" t="str">
        <x:v>No cross-user/private-path/answer leakage.</x:v>
      </x:c>
      <x:c r="I67" s="43" t="str">
        <x:v>Medium</x:v>
      </x:c>
      <x:c r="J67" s="43" t="str">
        <x:v>Practice Security</x:v>
      </x:c>
      <x:c r="K67" s="43" t="str">
        <x:v>practice</x:v>
      </x:c>
      <x:c r="L67" s="43" t="str">
        <x:v>Historical / incremental debt</x:v>
      </x:c>
      <x:c r="M67" s="43" t="str">
        <x:v>Done with Debt</x:v>
      </x:c>
      <x:c r="N67" s="43" t="str">
        <x:v>CODEX_PRACTICE_WORKFLOW.md §Phase 8H</x:v>
      </x:c>
    </x:row>
    <x:row r="68" ht="54" customHeight="1">
      <x:c r="A68" s="43" t="str">
        <x:v>PRA-08H-T03</x:v>
      </x:c>
      <x:c r="B68" s="43" t="str">
        <x:v>Yes</x:v>
      </x:c>
      <x:c r="C68" s="43" t="str">
        <x:v>Task</x:v>
      </x:c>
      <x:c r="D68" s="43" t="str">
        <x:v>Incremental service decomposition debt</x:v>
      </x:c>
      <x:c r="E68" s="43" t="str">
        <x:v>PRA-08H</x:v>
      </x:c>
      <x:c r="F68" s="43" t="str"/>
      <x:c r="G68" s="43" t="str"/>
      <x:c r="H68" s="43" t="str">
        <x:v>Extract theo feature value; không big-bang refactor.</x:v>
      </x:c>
      <x:c r="I68" s="43" t="str">
        <x:v>Medium</x:v>
      </x:c>
      <x:c r="J68" s="43" t="str">
        <x:v>Practice Security</x:v>
      </x:c>
      <x:c r="K68" s="43" t="str">
        <x:v>practice</x:v>
      </x:c>
      <x:c r="L68" s="43" t="str">
        <x:v>Historical / incremental debt</x:v>
      </x:c>
      <x:c r="M68" s="43" t="str">
        <x:v>Backlog</x:v>
      </x:c>
      <x:c r="N68" s="43" t="str">
        <x:v>CODEX_PRACTICE_WORKFLOW.md §Phase 8H</x:v>
      </x:c>
    </x:row>
    <x:row r="69" ht="54" customHeight="1">
      <x:c r="A69" s="43" t="str">
        <x:v>PRA-09</x:v>
      </x:c>
      <x:c r="B69" s="43" t="str">
        <x:v>Optional-History</x:v>
      </x:c>
      <x:c r="C69" s="43" t="str">
        <x:v>Epic</x:v>
      </x:c>
      <x:c r="D69" s="43" t="str">
        <x:v>Immutable Published Practice Versions</x:v>
      </x:c>
      <x:c r="E69" s="43" t="str">
        <x:v>PRA-PROGRAM</x:v>
      </x:c>
      <x:c r="F69" s="43" t="str">
        <x:v>Immutable Published Practice Versions</x:v>
      </x:c>
      <x:c r="G69" s="43" t="str">
        <x:v>Append-only immutable set/test/section/group/question graph và attempt locks.</x:v>
      </x:c>
      <x:c r="H69" s="43" t="str">
        <x:v>Old attempts render locked content; publish creates immutable graph; private paths không snapshot.</x:v>
      </x:c>
      <x:c r="I69" s="43" t="str">
        <x:v>Medium</x:v>
      </x:c>
      <x:c r="J69" s="43" t="str">
        <x:v>Practice Publish/Versioning</x:v>
      </x:c>
      <x:c r="K69" s="43" t="str">
        <x:v>practice</x:v>
      </x:c>
      <x:c r="L69" s="43" t="str">
        <x:v>Historical / Phase 15 compatibility</x:v>
      </x:c>
      <x:c r="M69" s="43" t="str">
        <x:v>Done with Debt</x:v>
      </x:c>
      <x:c r="N69" s="43" t="str">
        <x:v>CODEX_PRACTICE_WORKFLOW.md §Phase 9</x:v>
      </x:c>
    </x:row>
    <x:row r="70" ht="54" customHeight="1">
      <x:c r="A70" s="43" t="str">
        <x:v>PRA-09-A</x:v>
      </x:c>
      <x:c r="B70" s="43" t="str">
        <x:v>Optional-History</x:v>
      </x:c>
      <x:c r="C70" s="43" t="str">
        <x:v>Task</x:v>
      </x:c>
      <x:c r="D70" s="43" t="str">
        <x:v>Normalized immutable version schema</x:v>
      </x:c>
      <x:c r="E70" s="43" t="str">
        <x:v>PRA-09</x:v>
      </x:c>
      <x:c r="F70" s="43" t="str"/>
      <x:c r="G70" s="43" t="str"/>
      <x:c r="H70" s="43" t="str">
        <x:v>Entities/repositories/schema append-only.</x:v>
      </x:c>
      <x:c r="I70" s="43" t="str">
        <x:v>Medium</x:v>
      </x:c>
      <x:c r="J70" s="43" t="str">
        <x:v>Practice Publish/Versioning</x:v>
      </x:c>
      <x:c r="K70" s="43" t="str">
        <x:v>practice</x:v>
      </x:c>
      <x:c r="L70" s="43" t="str">
        <x:v>Historical / Phase 15 compatibility</x:v>
      </x:c>
      <x:c r="M70" s="43" t="str">
        <x:v>Done with Debt</x:v>
      </x:c>
      <x:c r="N70" s="43" t="str">
        <x:v>CODEX_PRACTICE_WORKFLOW.md §Phase 9</x:v>
      </x:c>
    </x:row>
    <x:row r="71" ht="54" customHeight="1">
      <x:c r="A71" s="43" t="str">
        <x:v>PRA-09-B</x:v>
      </x:c>
      <x:c r="B71" s="43" t="str">
        <x:v>Optional-History</x:v>
      </x:c>
      <x:c r="C71" s="43" t="str">
        <x:v>Task</x:v>
      </x:c>
      <x:c r="D71" s="43" t="str">
        <x:v>Publish version graph and attempt locks</x:v>
      </x:c>
      <x:c r="E71" s="43" t="str">
        <x:v>PRA-09</x:v>
      </x:c>
      <x:c r="F71" s="43" t="str"/>
      <x:c r="G71" s="43" t="str"/>
      <x:c r="H71" s="43" t="str">
        <x:v>New attempt locks published/set/test/section versions.</x:v>
      </x:c>
      <x:c r="I71" s="43" t="str">
        <x:v>Medium</x:v>
      </x:c>
      <x:c r="J71" s="43" t="str">
        <x:v>Practice Publish/Versioning</x:v>
      </x:c>
      <x:c r="K71" s="43" t="str">
        <x:v>practice</x:v>
      </x:c>
      <x:c r="L71" s="43" t="str">
        <x:v>Historical / Phase 15 compatibility</x:v>
      </x:c>
      <x:c r="M71" s="43" t="str">
        <x:v>Done with Debt</x:v>
      </x:c>
      <x:c r="N71" s="43" t="str">
        <x:v>CODEX_PRACTICE_WORKFLOW.md §Phase 9</x:v>
      </x:c>
    </x:row>
    <x:row r="72" ht="54" customHeight="1">
      <x:c r="A72" s="43" t="str">
        <x:v>PRA-09-C</x:v>
      </x:c>
      <x:c r="B72" s="43" t="str">
        <x:v>Optional-History</x:v>
      </x:c>
      <x:c r="C72" s="43" t="str">
        <x:v>Task</x:v>
      </x:c>
      <x:c r="D72" s="43" t="str">
        <x:v>Versioned scoring and result rendering</x:v>
      </x:c>
      <x:c r="E72" s="43" t="str">
        <x:v>PRA-09</x:v>
      </x:c>
      <x:c r="F72" s="43" t="str"/>
      <x:c r="G72" s="43" t="str"/>
      <x:c r="H72" s="43" t="str">
        <x:v>Prompt/options/answer/points/explanation đọc từ question version.</x:v>
      </x:c>
      <x:c r="I72" s="43" t="str">
        <x:v>Medium</x:v>
      </x:c>
      <x:c r="J72" s="43" t="str">
        <x:v>Practice Publish/Versioning</x:v>
      </x:c>
      <x:c r="K72" s="43" t="str">
        <x:v>practice</x:v>
      </x:c>
      <x:c r="L72" s="43" t="str">
        <x:v>Historical / Phase 15 compatibility</x:v>
      </x:c>
      <x:c r="M72" s="43" t="str">
        <x:v>Done with Debt</x:v>
      </x:c>
      <x:c r="N72" s="43" t="str">
        <x:v>CODEX_PRACTICE_WORKFLOW.md §Phase 9</x:v>
      </x:c>
    </x:row>
    <x:row r="73" ht="54" customHeight="1">
      <x:c r="A73" s="43" t="str">
        <x:v>PRA-09-D</x:v>
      </x:c>
      <x:c r="B73" s="43" t="str">
        <x:v>Optional-History</x:v>
      </x:c>
      <x:c r="C73" s="43" t="str">
        <x:v>Task</x:v>
      </x:c>
      <x:c r="D73" s="43" t="str">
        <x:v>AI/rubric/prompt/media version compatibility</x:v>
      </x:c>
      <x:c r="E73" s="43" t="str">
        <x:v>PRA-09</x:v>
      </x:c>
      <x:c r="F73" s="43" t="str"/>
      <x:c r="G73" s="43" t="str"/>
      <x:c r="H73" s="43" t="str">
        <x:v>Evaluation contract tied to version lock.</x:v>
      </x:c>
      <x:c r="I73" s="43" t="str">
        <x:v>Medium</x:v>
      </x:c>
      <x:c r="J73" s="43" t="str">
        <x:v>Practice Publish/Versioning</x:v>
      </x:c>
      <x:c r="K73" s="43" t="str">
        <x:v>practice</x:v>
      </x:c>
      <x:c r="L73" s="43" t="str">
        <x:v>Historical / Phase 15 compatibility</x:v>
      </x:c>
      <x:c r="M73" s="43" t="str">
        <x:v>Done with Debt</x:v>
      </x:c>
      <x:c r="N73" s="43" t="str">
        <x:v>CODEX_PRACTICE_WORKFLOW.md §Phase 9</x:v>
      </x:c>
    </x:row>
    <x:row r="74" ht="54" customHeight="1">
      <x:c r="A74" s="43" t="str">
        <x:v>PRA-09-E</x:v>
      </x:c>
      <x:c r="B74" s="43" t="str">
        <x:v>Optional-History</x:v>
      </x:c>
      <x:c r="C74" s="43" t="str">
        <x:v>Task</x:v>
      </x:c>
      <x:c r="D74" s="43" t="str">
        <x:v>Baseline migration and legacy compatibility</x:v>
      </x:c>
      <x:c r="E74" s="43" t="str">
        <x:v>PRA-09</x:v>
      </x:c>
      <x:c r="F74" s="43" t="str"/>
      <x:c r="G74" s="43" t="str"/>
      <x:c r="H74" s="43" t="str">
        <x:v>Legacy reconstruction is explicit best-effort, never latest-version masquerade.</x:v>
      </x:c>
      <x:c r="I74" s="43" t="str">
        <x:v>Medium</x:v>
      </x:c>
      <x:c r="J74" s="43" t="str">
        <x:v>Practice Publish/Versioning</x:v>
      </x:c>
      <x:c r="K74" s="43" t="str">
        <x:v>practice</x:v>
      </x:c>
      <x:c r="L74" s="43" t="str">
        <x:v>Historical / Phase 15 compatibility</x:v>
      </x:c>
      <x:c r="M74" s="43" t="str">
        <x:v>Done with Debt</x:v>
      </x:c>
      <x:c r="N74" s="43" t="str">
        <x:v>CODEX_PRACTICE_WORKFLOW.md §Phase 9</x:v>
      </x:c>
    </x:row>
    <x:row r="75" ht="54" customHeight="1">
      <x:c r="A75" s="43" t="str">
        <x:v>PRA-09-F</x:v>
      </x:c>
      <x:c r="B75" s="43" t="str">
        <x:v>Optional-History</x:v>
      </x:c>
      <x:c r="C75" s="43" t="str">
        <x:v>Task</x:v>
      </x:c>
      <x:c r="D75" s="43" t="str">
        <x:v>Phase 9 closure gate</x:v>
      </x:c>
      <x:c r="E75" s="43" t="str">
        <x:v>PRA-09</x:v>
      </x:c>
      <x:c r="F75" s="43" t="str"/>
      <x:c r="G75" s="43" t="str"/>
      <x:c r="H75" s="43" t="str">
        <x:v>Full-suite evidence và accepted debt ledger.</x:v>
      </x:c>
      <x:c r="I75" s="43" t="str">
        <x:v>Medium</x:v>
      </x:c>
      <x:c r="J75" s="43" t="str">
        <x:v>Practice Publish/Versioning</x:v>
      </x:c>
      <x:c r="K75" s="43" t="str">
        <x:v>practice</x:v>
      </x:c>
      <x:c r="L75" s="43" t="str">
        <x:v>Historical / Phase 15 compatibility</x:v>
      </x:c>
      <x:c r="M75" s="43" t="str">
        <x:v>Done with Debt</x:v>
      </x:c>
      <x:c r="N75" s="43" t="str">
        <x:v>CODEX_PRACTICE_WORKFLOW.md §Phase 9</x:v>
      </x:c>
    </x:row>
    <x:row r="76" ht="54" customHeight="1">
      <x:c r="A76" s="43" t="str">
        <x:v>PRA-09-G</x:v>
      </x:c>
      <x:c r="B76" s="43" t="str">
        <x:v>Optional-History</x:v>
      </x:c>
      <x:c r="C76" s="43" t="str">
        <x:v>Task</x:v>
      </x:c>
      <x:c r="D76" s="43" t="str">
        <x:v>Post-closure stabilization</x:v>
      </x:c>
      <x:c r="E76" s="43" t="str">
        <x:v>PRA-09</x:v>
      </x:c>
      <x:c r="F76" s="43" t="str"/>
      <x:c r="G76" s="43" t="str"/>
      <x:c r="H76" s="43" t="str">
        <x:v>Reject ambiguous ungrouped; fail-closed hash; retry-safe audio; UTF-8 correction.</x:v>
      </x:c>
      <x:c r="I76" s="43" t="str">
        <x:v>Medium</x:v>
      </x:c>
      <x:c r="J76" s="43" t="str">
        <x:v>Practice Publish/Versioning</x:v>
      </x:c>
      <x:c r="K76" s="43" t="str">
        <x:v>practice</x:v>
      </x:c>
      <x:c r="L76" s="43" t="str">
        <x:v>Historical / Phase 15 compatibility</x:v>
      </x:c>
      <x:c r="M76" s="43" t="str">
        <x:v>Done with Debt</x:v>
      </x:c>
      <x:c r="N76" s="43" t="str">
        <x:v>CODEX_PRACTICE_WORKFLOW.md §Phase 9</x:v>
      </x:c>
    </x:row>
    <x:row r="77" ht="54" customHeight="1">
      <x:c r="A77" s="43" t="str">
        <x:v>PRA-10</x:v>
      </x:c>
      <x:c r="B77" s="43" t="str">
        <x:v>Optional-History</x:v>
      </x:c>
      <x:c r="C77" s="43" t="str">
        <x:v>Epic</x:v>
      </x:c>
      <x:c r="D77" s="43" t="str">
        <x:v>Assessment Foundation &amp; Deterministic Scoring</x:v>
      </x:c>
      <x:c r="E77" s="43" t="str">
        <x:v>PRA-PROGRAM</x:v>
      </x:c>
      <x:c r="F77" s="43" t="str">
        <x:v>Assessment Foundation &amp; Deterministic Scoring</x:v>
      </x:c>
      <x:c r="G77" s="43" t="str">
        <x:v>Canonical question/answer/scoring contracts và immutable policy snapshot.</x:v>
      </x:c>
      <x:c r="H77" s="43" t="str">
        <x:v>Typed deterministic scoring và fail-closed contracts.</x:v>
      </x:c>
      <x:c r="I77" s="43" t="str">
        <x:v>Medium</x:v>
      </x:c>
      <x:c r="J77" s="43" t="str">
        <x:v>Practice Scoring</x:v>
      </x:c>
      <x:c r="K77" s="43" t="str">
        <x:v>practice</x:v>
      </x:c>
      <x:c r="L77" s="43" t="str">
        <x:v>Historical</x:v>
      </x:c>
      <x:c r="M77" s="43" t="str">
        <x:v>Done with Debt</x:v>
      </x:c>
      <x:c r="N77" s="43" t="str">
        <x:v>PRACTICE_PHASE_10_16_EXECUTION_BLUEPRINT.md §Phase 10</x:v>
      </x:c>
    </x:row>
    <x:row r="78" ht="54" customHeight="1">
      <x:c r="A78" s="43" t="str">
        <x:v>PRA-10-A</x:v>
      </x:c>
      <x:c r="B78" s="43" t="str">
        <x:v>Optional-History</x:v>
      </x:c>
      <x:c r="C78" s="43" t="str">
        <x:v>Task</x:v>
      </x:c>
      <x:c r="D78" s="43" t="str">
        <x:v>Canonical vocabulary and compatibility resolver</x:v>
      </x:c>
      <x:c r="E78" s="43" t="str">
        <x:v>PRA-10</x:v>
      </x:c>
      <x:c r="F78" s="43" t="str"/>
      <x:c r="G78" s="43" t="str"/>
      <x:c r="H78" s="43" t="str"/>
      <x:c r="I78" s="43" t="str">
        <x:v>Medium</x:v>
      </x:c>
      <x:c r="J78" s="43" t="str">
        <x:v>Practice Scoring</x:v>
      </x:c>
      <x:c r="K78" s="43" t="str">
        <x:v>practice</x:v>
      </x:c>
      <x:c r="L78" s="43" t="str">
        <x:v>Historical</x:v>
      </x:c>
      <x:c r="M78" s="43" t="str">
        <x:v>Done with Debt</x:v>
      </x:c>
      <x:c r="N78" s="43" t="str">
        <x:v>PRACTICE_PHASE_10_16_EXECUTION_BLUEPRINT.md §Phase 10</x:v>
      </x:c>
    </x:row>
    <x:row r="79" ht="54" customHeight="1">
      <x:c r="A79" s="43" t="str">
        <x:v>PRA-10-B</x:v>
      </x:c>
      <x:c r="B79" s="43" t="str">
        <x:v>Optional-History</x:v>
      </x:c>
      <x:c r="C79" s="43" t="str">
        <x:v>Task</x:v>
      </x:c>
      <x:c r="D79" s="43" t="str">
        <x:v>Question content, AnswerSpec and LearnerAnswer contracts</x:v>
      </x:c>
      <x:c r="E79" s="43" t="str">
        <x:v>PRA-10</x:v>
      </x:c>
      <x:c r="F79" s="43" t="str"/>
      <x:c r="G79" s="43" t="str"/>
      <x:c r="H79" s="43" t="str"/>
      <x:c r="I79" s="43" t="str">
        <x:v>Medium</x:v>
      </x:c>
      <x:c r="J79" s="43" t="str">
        <x:v>Practice Scoring</x:v>
      </x:c>
      <x:c r="K79" s="43" t="str">
        <x:v>practice</x:v>
      </x:c>
      <x:c r="L79" s="43" t="str">
        <x:v>Historical</x:v>
      </x:c>
      <x:c r="M79" s="43" t="str">
        <x:v>Done with Debt</x:v>
      </x:c>
      <x:c r="N79" s="43" t="str">
        <x:v>PRACTICE_PHASE_10_16_EXECUTION_BLUEPRINT.md §Phase 10</x:v>
      </x:c>
    </x:row>
    <x:row r="80" ht="54" customHeight="1">
      <x:c r="A80" s="43" t="str">
        <x:v>PRA-10-C</x:v>
      </x:c>
      <x:c r="B80" s="43" t="str">
        <x:v>Optional-History</x:v>
      </x:c>
      <x:c r="C80" s="43" t="str">
        <x:v>Task</x:v>
      </x:c>
      <x:c r="D80" s="43" t="str">
        <x:v>Deterministic scoring engine</x:v>
      </x:c>
      <x:c r="E80" s="43" t="str">
        <x:v>PRA-10</x:v>
      </x:c>
      <x:c r="F80" s="43" t="str"/>
      <x:c r="G80" s="43" t="str"/>
      <x:c r="H80" s="43" t="str"/>
      <x:c r="I80" s="43" t="str">
        <x:v>Medium</x:v>
      </x:c>
      <x:c r="J80" s="43" t="str">
        <x:v>Practice Scoring</x:v>
      </x:c>
      <x:c r="K80" s="43" t="str">
        <x:v>practice</x:v>
      </x:c>
      <x:c r="L80" s="43" t="str">
        <x:v>Historical</x:v>
      </x:c>
      <x:c r="M80" s="43" t="str">
        <x:v>Done with Debt</x:v>
      </x:c>
      <x:c r="N80" s="43" t="str">
        <x:v>PRACTICE_PHASE_10_16_EXECUTION_BLUEPRINT.md §Phase 10</x:v>
      </x:c>
    </x:row>
    <x:row r="81" ht="54" customHeight="1">
      <x:c r="A81" s="43" t="str">
        <x:v>PRA-10-D</x:v>
      </x:c>
      <x:c r="B81" s="43" t="str">
        <x:v>Optional-History</x:v>
      </x:c>
      <x:c r="C81" s="43" t="str">
        <x:v>Task</x:v>
      </x:c>
      <x:c r="D81" s="43" t="str">
        <x:v>Scoring, rubric and prompt profile persistence</x:v>
      </x:c>
      <x:c r="E81" s="43" t="str">
        <x:v>PRA-10</x:v>
      </x:c>
      <x:c r="F81" s="43" t="str"/>
      <x:c r="G81" s="43" t="str"/>
      <x:c r="H81" s="43" t="str"/>
      <x:c r="I81" s="43" t="str">
        <x:v>Medium</x:v>
      </x:c>
      <x:c r="J81" s="43" t="str">
        <x:v>Practice Scoring</x:v>
      </x:c>
      <x:c r="K81" s="43" t="str">
        <x:v>practice</x:v>
      </x:c>
      <x:c r="L81" s="43" t="str">
        <x:v>Historical</x:v>
      </x:c>
      <x:c r="M81" s="43" t="str">
        <x:v>Done with Debt</x:v>
      </x:c>
      <x:c r="N81" s="43" t="str">
        <x:v>PRACTICE_PHASE_10_16_EXECUTION_BLUEPRINT.md §Phase 10</x:v>
      </x:c>
    </x:row>
    <x:row r="82" ht="54" customHeight="1">
      <x:c r="A82" s="43" t="str">
        <x:v>PRA-10-E</x:v>
      </x:c>
      <x:c r="B82" s="43" t="str">
        <x:v>Optional-History</x:v>
      </x:c>
      <x:c r="C82" s="43" t="str">
        <x:v>Task</x:v>
      </x:c>
      <x:c r="D82" s="43" t="str">
        <x:v>Live question and immutable snapshot expansion</x:v>
      </x:c>
      <x:c r="E82" s="43" t="str">
        <x:v>PRA-10</x:v>
      </x:c>
      <x:c r="F82" s="43" t="str"/>
      <x:c r="G82" s="43" t="str"/>
      <x:c r="H82" s="43" t="str"/>
      <x:c r="I82" s="43" t="str">
        <x:v>Medium</x:v>
      </x:c>
      <x:c r="J82" s="43" t="str">
        <x:v>Practice Scoring</x:v>
      </x:c>
      <x:c r="K82" s="43" t="str">
        <x:v>practice</x:v>
      </x:c>
      <x:c r="L82" s="43" t="str">
        <x:v>Historical</x:v>
      </x:c>
      <x:c r="M82" s="43" t="str">
        <x:v>Done with Debt</x:v>
      </x:c>
      <x:c r="N82" s="43" t="str">
        <x:v>PRACTICE_PHASE_10_16_EXECUTION_BLUEPRINT.md §Phase 10</x:v>
      </x:c>
    </x:row>
    <x:row r="83" ht="54" customHeight="1">
      <x:c r="A83" s="43" t="str">
        <x:v>PRA-10-F</x:v>
      </x:c>
      <x:c r="B83" s="43" t="str">
        <x:v>Optional-History</x:v>
      </x:c>
      <x:c r="C83" s="43" t="str">
        <x:v>Task</x:v>
      </x:c>
      <x:c r="D83" s="43" t="str">
        <x:v>Practice grading integration</x:v>
      </x:c>
      <x:c r="E83" s="43" t="str">
        <x:v>PRA-10</x:v>
      </x:c>
      <x:c r="F83" s="43" t="str"/>
      <x:c r="G83" s="43" t="str"/>
      <x:c r="H83" s="43" t="str"/>
      <x:c r="I83" s="43" t="str">
        <x:v>Medium</x:v>
      </x:c>
      <x:c r="J83" s="43" t="str">
        <x:v>Practice Scoring</x:v>
      </x:c>
      <x:c r="K83" s="43" t="str">
        <x:v>practice</x:v>
      </x:c>
      <x:c r="L83" s="43" t="str">
        <x:v>Historical</x:v>
      </x:c>
      <x:c r="M83" s="43" t="str">
        <x:v>Done with Debt</x:v>
      </x:c>
      <x:c r="N83" s="43" t="str">
        <x:v>PRACTICE_PHASE_10_16_EXECUTION_BLUEPRINT.md §Phase 10</x:v>
      </x:c>
    </x:row>
    <x:row r="84" ht="54" customHeight="1">
      <x:c r="A84" s="43" t="str">
        <x:v>PRA-10-G</x:v>
      </x:c>
      <x:c r="B84" s="43" t="str">
        <x:v>Optional-History</x:v>
      </x:c>
      <x:c r="C84" s="43" t="str">
        <x:v>Task</x:v>
      </x:c>
      <x:c r="D84" s="43" t="str">
        <x:v>Standardized Reading/Listening explanation contract</x:v>
      </x:c>
      <x:c r="E84" s="43" t="str">
        <x:v>PRA-10</x:v>
      </x:c>
      <x:c r="F84" s="43" t="str"/>
      <x:c r="G84" s="43" t="str"/>
      <x:c r="H84" s="43" t="str"/>
      <x:c r="I84" s="43" t="str">
        <x:v>Medium</x:v>
      </x:c>
      <x:c r="J84" s="43" t="str">
        <x:v>Practice Scoring</x:v>
      </x:c>
      <x:c r="K84" s="43" t="str">
        <x:v>practice</x:v>
      </x:c>
      <x:c r="L84" s="43" t="str">
        <x:v>Historical</x:v>
      </x:c>
      <x:c r="M84" s="43" t="str">
        <x:v>Done with Debt</x:v>
      </x:c>
      <x:c r="N84" s="43" t="str">
        <x:v>PRACTICE_PHASE_10_16_EXECUTION_BLUEPRINT.md §Phase 10</x:v>
      </x:c>
    </x:row>
    <x:row r="85" ht="54" customHeight="1">
      <x:c r="A85" s="43" t="str">
        <x:v>PRA-10-H</x:v>
      </x:c>
      <x:c r="B85" s="43" t="str">
        <x:v>Optional-History</x:v>
      </x:c>
      <x:c r="C85" s="43" t="str">
        <x:v>Task</x:v>
      </x:c>
      <x:c r="D85" s="43" t="str">
        <x:v>Program policy integration and stabilization gate</x:v>
      </x:c>
      <x:c r="E85" s="43" t="str">
        <x:v>PRA-10</x:v>
      </x:c>
      <x:c r="F85" s="43" t="str"/>
      <x:c r="G85" s="43" t="str"/>
      <x:c r="H85" s="43" t="str"/>
      <x:c r="I85" s="43" t="str">
        <x:v>Medium</x:v>
      </x:c>
      <x:c r="J85" s="43" t="str">
        <x:v>Practice Scoring</x:v>
      </x:c>
      <x:c r="K85" s="43" t="str">
        <x:v>practice</x:v>
      </x:c>
      <x:c r="L85" s="43" t="str">
        <x:v>Historical</x:v>
      </x:c>
      <x:c r="M85" s="43" t="str">
        <x:v>Done with Debt</x:v>
      </x:c>
      <x:c r="N85" s="43" t="str">
        <x:v>PRACTICE_PHASE_10_16_EXECUTION_BLUEPRINT.md §Phase 10</x:v>
      </x:c>
    </x:row>
    <x:row r="86" ht="54" customHeight="1">
      <x:c r="A86" s="43" t="str">
        <x:v>PRA-11</x:v>
      </x:c>
      <x:c r="B86" s="43" t="str">
        <x:v>Optional-History</x:v>
      </x:c>
      <x:c r="C86" s="43" t="str">
        <x:v>Epic</x:v>
      </x:c>
      <x:c r="D86" s="43" t="str">
        <x:v>Lecturer Authoring &amp; Import</x:v>
      </x:c>
      <x:c r="E86" s="43" t="str">
        <x:v>PRA-PROGRAM</x:v>
      </x:c>
      <x:c r="F86" s="43" t="str">
        <x:v>Lecturer Authoring &amp; Import</x:v>
      </x:c>
      <x:c r="G86" s="43" t="str">
        <x:v>Canonical draft/editor, Excel, PDF, publish và learner-safe preview.</x:v>
      </x:c>
      <x:c r="H86" s="43" t="str">
        <x:v>Authoring/import foundation hoàn tất; governance/material/release debt routed.</x:v>
      </x:c>
      <x:c r="I86" s="43" t="str">
        <x:v>Medium</x:v>
      </x:c>
      <x:c r="J86" s="43" t="str">
        <x:v>Practice Authoring/Import</x:v>
      </x:c>
      <x:c r="K86" s="43" t="str">
        <x:v>practice</x:v>
      </x:c>
      <x:c r="L86" s="43" t="str">
        <x:v>Historical</x:v>
      </x:c>
      <x:c r="M86" s="43" t="str">
        <x:v>Done with Debt</x:v>
      </x:c>
      <x:c r="N86" s="43" t="str">
        <x:v>PRACTICE_PHASE_10_16_EXECUTION_BLUEPRINT.md §Phase 11</x:v>
      </x:c>
    </x:row>
    <x:row r="87" ht="54" customHeight="1">
      <x:c r="A87" s="43" t="str">
        <x:v>PRA-11-A</x:v>
      </x:c>
      <x:c r="B87" s="43" t="str">
        <x:v>Optional-History</x:v>
      </x:c>
      <x:c r="C87" s="43" t="str">
        <x:v>Task</x:v>
      </x:c>
      <x:c r="D87" s="43" t="str">
        <x:v>Canonical draft-v3, stimulus and score contract</x:v>
      </x:c>
      <x:c r="E87" s="43" t="str">
        <x:v>PRA-11</x:v>
      </x:c>
      <x:c r="F87" s="43" t="str"/>
      <x:c r="G87" s="43" t="str"/>
      <x:c r="H87" s="43" t="str"/>
      <x:c r="I87" s="43" t="str">
        <x:v>Medium</x:v>
      </x:c>
      <x:c r="J87" s="43" t="str">
        <x:v>Practice Authoring/Import</x:v>
      </x:c>
      <x:c r="K87" s="43" t="str">
        <x:v>practice</x:v>
      </x:c>
      <x:c r="L87" s="43" t="str">
        <x:v>Historical</x:v>
      </x:c>
      <x:c r="M87" s="43" t="str">
        <x:v>Done with Debt</x:v>
      </x:c>
      <x:c r="N87" s="43" t="str">
        <x:v>PRACTICE_PHASE_10_16_EXECUTION_BLUEPRINT.md §Phase 11</x:v>
      </x:c>
    </x:row>
    <x:row r="88" ht="54" customHeight="1">
      <x:c r="A88" s="43" t="str">
        <x:v>PRA-11-B</x:v>
      </x:c>
      <x:c r="B88" s="43" t="str">
        <x:v>Optional-History</x:v>
      </x:c>
      <x:c r="C88" s="43" t="str">
        <x:v>Task</x:v>
      </x:c>
      <x:c r="D88" s="43" t="str">
        <x:v>Set/Test/Skill/Group hierarchy authoring</x:v>
      </x:c>
      <x:c r="E88" s="43" t="str">
        <x:v>PRA-11</x:v>
      </x:c>
      <x:c r="F88" s="43" t="str"/>
      <x:c r="G88" s="43" t="str"/>
      <x:c r="H88" s="43" t="str"/>
      <x:c r="I88" s="43" t="str">
        <x:v>Medium</x:v>
      </x:c>
      <x:c r="J88" s="43" t="str">
        <x:v>Practice Authoring/Import</x:v>
      </x:c>
      <x:c r="K88" s="43" t="str">
        <x:v>practice</x:v>
      </x:c>
      <x:c r="L88" s="43" t="str">
        <x:v>Historical</x:v>
      </x:c>
      <x:c r="M88" s="43" t="str">
        <x:v>Done with Debt</x:v>
      </x:c>
      <x:c r="N88" s="43" t="str">
        <x:v>PRACTICE_PHASE_10_16_EXECUTION_BLUEPRINT.md §Phase 11</x:v>
      </x:c>
    </x:row>
    <x:row r="89" ht="54" customHeight="1">
      <x:c r="A89" s="43" t="str">
        <x:v>PRA-11-C</x:v>
      </x:c>
      <x:c r="B89" s="43" t="str">
        <x:v>Optional-History</x:v>
      </x:c>
      <x:c r="C89" s="43" t="str">
        <x:v>Task</x:v>
      </x:c>
      <x:c r="D89" s="43" t="str">
        <x:v>Policy-driven typed editors</x:v>
      </x:c>
      <x:c r="E89" s="43" t="str">
        <x:v>PRA-11</x:v>
      </x:c>
      <x:c r="F89" s="43" t="str"/>
      <x:c r="G89" s="43" t="str"/>
      <x:c r="H89" s="43" t="str"/>
      <x:c r="I89" s="43" t="str">
        <x:v>Medium</x:v>
      </x:c>
      <x:c r="J89" s="43" t="str">
        <x:v>Practice Authoring/Import</x:v>
      </x:c>
      <x:c r="K89" s="43" t="str">
        <x:v>practice</x:v>
      </x:c>
      <x:c r="L89" s="43" t="str">
        <x:v>Historical</x:v>
      </x:c>
      <x:c r="M89" s="43" t="str">
        <x:v>Done with Debt</x:v>
      </x:c>
      <x:c r="N89" s="43" t="str">
        <x:v>PRACTICE_PHASE_10_16_EXECUTION_BLUEPRINT.md §Phase 11</x:v>
      </x:c>
    </x:row>
    <x:row r="90" ht="54" customHeight="1">
      <x:c r="A90" s="43" t="str">
        <x:v>PRA-11-D</x:v>
      </x:c>
      <x:c r="B90" s="43" t="str">
        <x:v>Optional-History</x:v>
      </x:c>
      <x:c r="C90" s="43" t="str">
        <x:v>Task</x:v>
      </x:c>
      <x:c r="D90" s="43" t="str">
        <x:v>Safe learner/teacher preview</x:v>
      </x:c>
      <x:c r="E90" s="43" t="str">
        <x:v>PRA-11</x:v>
      </x:c>
      <x:c r="F90" s="43" t="str"/>
      <x:c r="G90" s="43" t="str"/>
      <x:c r="H90" s="43" t="str"/>
      <x:c r="I90" s="43" t="str">
        <x:v>Medium</x:v>
      </x:c>
      <x:c r="J90" s="43" t="str">
        <x:v>Practice Authoring/Import</x:v>
      </x:c>
      <x:c r="K90" s="43" t="str">
        <x:v>practice</x:v>
      </x:c>
      <x:c r="L90" s="43" t="str">
        <x:v>Historical</x:v>
      </x:c>
      <x:c r="M90" s="43" t="str">
        <x:v>Done with Debt</x:v>
      </x:c>
      <x:c r="N90" s="43" t="str">
        <x:v>PRACTICE_PHASE_10_16_EXECUTION_BLUEPRINT.md §Phase 11</x:v>
      </x:c>
    </x:row>
    <x:row r="91" ht="54" customHeight="1">
      <x:c r="A91" s="43" t="str">
        <x:v>PRA-11-E</x:v>
      </x:c>
      <x:c r="B91" s="43" t="str">
        <x:v>Optional-History</x:v>
      </x:c>
      <x:c r="C91" s="43" t="str">
        <x:v>Task</x:v>
      </x:c>
      <x:c r="D91" s="43" t="str">
        <x:v>All-skill Excel v2 import and preview</x:v>
      </x:c>
      <x:c r="E91" s="43" t="str">
        <x:v>PRA-11</x:v>
      </x:c>
      <x:c r="F91" s="43" t="str"/>
      <x:c r="G91" s="43" t="str"/>
      <x:c r="H91" s="43" t="str"/>
      <x:c r="I91" s="43" t="str">
        <x:v>Medium</x:v>
      </x:c>
      <x:c r="J91" s="43" t="str">
        <x:v>Practice Authoring/Import</x:v>
      </x:c>
      <x:c r="K91" s="43" t="str">
        <x:v>practice</x:v>
      </x:c>
      <x:c r="L91" s="43" t="str">
        <x:v>Historical</x:v>
      </x:c>
      <x:c r="M91" s="43" t="str">
        <x:v>Done with Debt</x:v>
      </x:c>
      <x:c r="N91" s="43" t="str">
        <x:v>PRACTICE_PHASE_10_16_EXECUTION_BLUEPRINT.md §Phase 11</x:v>
      </x:c>
    </x:row>
    <x:row r="92" ht="54" customHeight="1">
      <x:c r="A92" s="43" t="str">
        <x:v>PRA-11-F</x:v>
      </x:c>
      <x:c r="B92" s="43" t="str">
        <x:v>Optional-History</x:v>
      </x:c>
      <x:c r="C92" s="43" t="str">
        <x:v>Task</x:v>
      </x:c>
      <x:c r="D92" s="43" t="str">
        <x:v>Guided/canonical PDF workspace</x:v>
      </x:c>
      <x:c r="E92" s="43" t="str">
        <x:v>PRA-11</x:v>
      </x:c>
      <x:c r="F92" s="43" t="str"/>
      <x:c r="G92" s="43" t="str"/>
      <x:c r="H92" s="43" t="str"/>
      <x:c r="I92" s="43" t="str">
        <x:v>Medium</x:v>
      </x:c>
      <x:c r="J92" s="43" t="str">
        <x:v>Practice Authoring/Import</x:v>
      </x:c>
      <x:c r="K92" s="43" t="str">
        <x:v>practice</x:v>
      </x:c>
      <x:c r="L92" s="43" t="str">
        <x:v>Historical</x:v>
      </x:c>
      <x:c r="M92" s="43" t="str">
        <x:v>Done with Debt</x:v>
      </x:c>
      <x:c r="N92" s="43" t="str">
        <x:v>PRACTICE_PHASE_10_16_EXECUTION_BLUEPRINT.md §Phase 11</x:v>
      </x:c>
    </x:row>
    <x:row r="93" ht="54" customHeight="1">
      <x:c r="A93" s="43" t="str">
        <x:v>PRA-11-G</x:v>
      </x:c>
      <x:c r="B93" s="43" t="str">
        <x:v>Optional-History</x:v>
      </x:c>
      <x:c r="C93" s="43" t="str">
        <x:v>Task</x:v>
      </x:c>
      <x:c r="D93" s="43" t="str">
        <x:v>Publish binding, assets and confidence gates</x:v>
      </x:c>
      <x:c r="E93" s="43" t="str">
        <x:v>PRA-11</x:v>
      </x:c>
      <x:c r="F93" s="43" t="str"/>
      <x:c r="G93" s="43" t="str"/>
      <x:c r="H93" s="43" t="str"/>
      <x:c r="I93" s="43" t="str">
        <x:v>Medium</x:v>
      </x:c>
      <x:c r="J93" s="43" t="str">
        <x:v>Practice Authoring/Import</x:v>
      </x:c>
      <x:c r="K93" s="43" t="str">
        <x:v>practice</x:v>
      </x:c>
      <x:c r="L93" s="43" t="str">
        <x:v>Historical</x:v>
      </x:c>
      <x:c r="M93" s="43" t="str">
        <x:v>Done with Debt</x:v>
      </x:c>
      <x:c r="N93" s="43" t="str">
        <x:v>PRACTICE_PHASE_10_16_EXECUTION_BLUEPRINT.md §Phase 11</x:v>
      </x:c>
    </x:row>
    <x:row r="94" ht="54" customHeight="1">
      <x:c r="A94" s="43" t="str">
        <x:v>PRA-11-H</x:v>
      </x:c>
      <x:c r="B94" s="43" t="str">
        <x:v>Optional-History</x:v>
      </x:c>
      <x:c r="C94" s="43" t="str">
        <x:v>Task</x:v>
      </x:c>
      <x:c r="D94" s="43" t="str">
        <x:v>Closure stabilization, full suite and browser QA</x:v>
      </x:c>
      <x:c r="E94" s="43" t="str">
        <x:v>PRA-11</x:v>
      </x:c>
      <x:c r="F94" s="43" t="str"/>
      <x:c r="G94" s="43" t="str"/>
      <x:c r="H94" s="43" t="str"/>
      <x:c r="I94" s="43" t="str">
        <x:v>Medium</x:v>
      </x:c>
      <x:c r="J94" s="43" t="str">
        <x:v>Practice Authoring/Import</x:v>
      </x:c>
      <x:c r="K94" s="43" t="str">
        <x:v>practice</x:v>
      </x:c>
      <x:c r="L94" s="43" t="str">
        <x:v>Historical</x:v>
      </x:c>
      <x:c r="M94" s="43" t="str">
        <x:v>Done with Debt</x:v>
      </x:c>
      <x:c r="N94" s="43" t="str">
        <x:v>PRACTICE_PHASE_10_16_EXECUTION_BLUEPRINT.md §Phase 11</x:v>
      </x:c>
    </x:row>
    <x:row r="95" ht="54" customHeight="1">
      <x:c r="A95" s="43" t="str">
        <x:v>PRA-12R</x:v>
      </x:c>
      <x:c r="B95" s="43" t="str">
        <x:v>Optional-History</x:v>
      </x:c>
      <x:c r="C95" s="43" t="str">
        <x:v>Epic</x:v>
      </x:c>
      <x:c r="D95" s="43" t="str">
        <x:v>Materials, Security &amp; Single-Scope Reduction</x:v>
      </x:c>
      <x:c r="E95" s="43" t="str">
        <x:v>PRA-PROGRAM</x:v>
      </x:c>
      <x:c r="F95" s="43" t="str">
        <x:v>Materials, Security &amp; Single-Scope Reduction</x:v>
      </x:c>
      <x:c r="G95" s="43" t="str">
        <x:v>Private materials, lifecycle/security và loại generic program/certificate governance khỏi scope.</x:v>
      </x:c>
      <x:c r="H95" s="43" t="str">
        <x:v>Single KSH practice scope; browser/product gate không được claim xanh.</x:v>
      </x:c>
      <x:c r="I95" s="43" t="str">
        <x:v>Medium</x:v>
      </x:c>
      <x:c r="J95" s="43" t="str">
        <x:v>Practice Security</x:v>
      </x:c>
      <x:c r="K95" s="43" t="str">
        <x:v>practice</x:v>
      </x:c>
      <x:c r="L95" s="43" t="str">
        <x:v>Historical / Phase 15 debt</x:v>
      </x:c>
      <x:c r="M95" s="43" t="str">
        <x:v>Done with Debt</x:v>
      </x:c>
      <x:c r="N95" s="43" t="str">
        <x:v>docs/PRACTICE_SINGLE_SCOPE_REDUCTION_AUDIT.md</x:v>
      </x:c>
    </x:row>
    <x:row r="96" ht="54" customHeight="1">
      <x:c r="A96" s="43" t="str">
        <x:v>PRA-12R-1</x:v>
      </x:c>
      <x:c r="B96" s="43" t="str">
        <x:v>Optional-History</x:v>
      </x:c>
      <x:c r="C96" s="43" t="str">
        <x:v>Task</x:v>
      </x:c>
      <x:c r="D96" s="43" t="str">
        <x:v>Freeze single-scope product contract</x:v>
      </x:c>
      <x:c r="E96" s="43" t="str">
        <x:v>PRA-12R</x:v>
      </x:c>
      <x:c r="F96" s="43" t="str"/>
      <x:c r="G96" s="43" t="str"/>
      <x:c r="H96" s="43" t="str"/>
      <x:c r="I96" s="43" t="str">
        <x:v>Medium</x:v>
      </x:c>
      <x:c r="J96" s="43" t="str">
        <x:v>Practice Security</x:v>
      </x:c>
      <x:c r="K96" s="43" t="str">
        <x:v>practice</x:v>
      </x:c>
      <x:c r="L96" s="43" t="str">
        <x:v>Historical / Phase 15 debt</x:v>
      </x:c>
      <x:c r="M96" s="43" t="str">
        <x:v>Done with Debt</x:v>
      </x:c>
      <x:c r="N96" s="43" t="str">
        <x:v>docs/PRACTICE_SINGLE_SCOPE_REDUCTION_AUDIT.md</x:v>
      </x:c>
    </x:row>
    <x:row r="97" ht="54" customHeight="1">
      <x:c r="A97" s="43" t="str">
        <x:v>PRA-12R-2</x:v>
      </x:c>
      <x:c r="B97" s="43" t="str">
        <x:v>Optional-History</x:v>
      </x:c>
      <x:c r="C97" s="43" t="str">
        <x:v>Task</x:v>
      </x:c>
      <x:c r="D97" s="43" t="str">
        <x:v>Replace generic policy runtime</x:v>
      </x:c>
      <x:c r="E97" s="43" t="str">
        <x:v>PRA-12R</x:v>
      </x:c>
      <x:c r="F97" s="43" t="str"/>
      <x:c r="G97" s="43" t="str"/>
      <x:c r="H97" s="43" t="str"/>
      <x:c r="I97" s="43" t="str">
        <x:v>Medium</x:v>
      </x:c>
      <x:c r="J97" s="43" t="str">
        <x:v>Practice Security</x:v>
      </x:c>
      <x:c r="K97" s="43" t="str">
        <x:v>practice</x:v>
      </x:c>
      <x:c r="L97" s="43" t="str">
        <x:v>Historical / Phase 15 debt</x:v>
      </x:c>
      <x:c r="M97" s="43" t="str">
        <x:v>Done with Debt</x:v>
      </x:c>
      <x:c r="N97" s="43" t="str">
        <x:v>docs/PRACTICE_SINGLE_SCOPE_REDUCTION_AUDIT.md</x:v>
      </x:c>
    </x:row>
    <x:row r="98" ht="54" customHeight="1">
      <x:c r="A98" s="43" t="str">
        <x:v>PRA-12R-3</x:v>
      </x:c>
      <x:c r="B98" s="43" t="str">
        <x:v>Optional-History</x:v>
      </x:c>
      <x:c r="C98" s="43" t="str">
        <x:v>Task</x:v>
      </x:c>
      <x:c r="D98" s="43" t="str">
        <x:v>Schema reduction and migration proof</x:v>
      </x:c>
      <x:c r="E98" s="43" t="str">
        <x:v>PRA-12R</x:v>
      </x:c>
      <x:c r="F98" s="43" t="str"/>
      <x:c r="G98" s="43" t="str"/>
      <x:c r="H98" s="43" t="str"/>
      <x:c r="I98" s="43" t="str">
        <x:v>Medium</x:v>
      </x:c>
      <x:c r="J98" s="43" t="str">
        <x:v>Practice Security</x:v>
      </x:c>
      <x:c r="K98" s="43" t="str">
        <x:v>practice</x:v>
      </x:c>
      <x:c r="L98" s="43" t="str">
        <x:v>Historical / Phase 15 debt</x:v>
      </x:c>
      <x:c r="M98" s="43" t="str">
        <x:v>Done with Debt</x:v>
      </x:c>
      <x:c r="N98" s="43" t="str">
        <x:v>docs/PRACTICE_SINGLE_SCOPE_REDUCTION_AUDIT.md</x:v>
      </x:c>
    </x:row>
    <x:row r="99" ht="54" customHeight="1">
      <x:c r="A99" s="43" t="str">
        <x:v>PRA-12R-4</x:v>
      </x:c>
      <x:c r="B99" s="43" t="str">
        <x:v>Optional-History</x:v>
      </x:c>
      <x:c r="C99" s="43" t="str">
        <x:v>Task</x:v>
      </x:c>
      <x:c r="D99" s="43" t="str">
        <x:v>Remove out-of-scope code/UI surface</x:v>
      </x:c>
      <x:c r="E99" s="43" t="str">
        <x:v>PRA-12R</x:v>
      </x:c>
      <x:c r="F99" s="43" t="str"/>
      <x:c r="G99" s="43" t="str"/>
      <x:c r="H99" s="43" t="str"/>
      <x:c r="I99" s="43" t="str">
        <x:v>Medium</x:v>
      </x:c>
      <x:c r="J99" s="43" t="str">
        <x:v>Practice Security</x:v>
      </x:c>
      <x:c r="K99" s="43" t="str">
        <x:v>practice</x:v>
      </x:c>
      <x:c r="L99" s="43" t="str">
        <x:v>Historical / Phase 15 debt</x:v>
      </x:c>
      <x:c r="M99" s="43" t="str">
        <x:v>Done with Debt</x:v>
      </x:c>
      <x:c r="N99" s="43" t="str">
        <x:v>docs/PRACTICE_SINGLE_SCOPE_REDUCTION_AUDIT.md</x:v>
      </x:c>
    </x:row>
    <x:row r="100" ht="54" customHeight="1">
      <x:c r="A100" s="43" t="str">
        <x:v>PRA-12R-5</x:v>
      </x:c>
      <x:c r="B100" s="43" t="str">
        <x:v>Optional-History</x:v>
      </x:c>
      <x:c r="C100" s="43" t="str">
        <x:v>Task</x:v>
      </x:c>
      <x:c r="D100" s="43" t="str">
        <x:v>Lecturer-only ownership and collaboration</x:v>
      </x:c>
      <x:c r="E100" s="43" t="str">
        <x:v>PRA-12R</x:v>
      </x:c>
      <x:c r="F100" s="43" t="str"/>
      <x:c r="G100" s="43" t="str"/>
      <x:c r="H100" s="43" t="str"/>
      <x:c r="I100" s="43" t="str">
        <x:v>Medium</x:v>
      </x:c>
      <x:c r="J100" s="43" t="str">
        <x:v>Practice Security</x:v>
      </x:c>
      <x:c r="K100" s="43" t="str">
        <x:v>practice</x:v>
      </x:c>
      <x:c r="L100" s="43" t="str">
        <x:v>Historical / Phase 15 debt</x:v>
      </x:c>
      <x:c r="M100" s="43" t="str">
        <x:v>Done with Debt</x:v>
      </x:c>
      <x:c r="N100" s="43" t="str">
        <x:v>docs/PRACTICE_SINGLE_SCOPE_REDUCTION_AUDIT.md</x:v>
      </x:c>
    </x:row>
    <x:row r="101" ht="54" customHeight="1">
      <x:c r="A101" s="43" t="str">
        <x:v>PRA-12R-6</x:v>
      </x:c>
      <x:c r="B101" s="43" t="str">
        <x:v>Optional-History</x:v>
      </x:c>
      <x:c r="C101" s="43" t="str">
        <x:v>Task</x:v>
      </x:c>
      <x:c r="D101" s="43" t="str">
        <x:v>Authoring and AI regression</x:v>
      </x:c>
      <x:c r="E101" s="43" t="str">
        <x:v>PRA-12R</x:v>
      </x:c>
      <x:c r="F101" s="43" t="str"/>
      <x:c r="G101" s="43" t="str"/>
      <x:c r="H101" s="43" t="str"/>
      <x:c r="I101" s="43" t="str">
        <x:v>Medium</x:v>
      </x:c>
      <x:c r="J101" s="43" t="str">
        <x:v>Practice Security</x:v>
      </x:c>
      <x:c r="K101" s="43" t="str">
        <x:v>practice</x:v>
      </x:c>
      <x:c r="L101" s="43" t="str">
        <x:v>Historical / Phase 15 debt</x:v>
      </x:c>
      <x:c r="M101" s="43" t="str">
        <x:v>Done with Debt</x:v>
      </x:c>
      <x:c r="N101" s="43" t="str">
        <x:v>docs/PRACTICE_SINGLE_SCOPE_REDUCTION_AUDIT.md</x:v>
      </x:c>
    </x:row>
    <x:row r="102" ht="54" customHeight="1">
      <x:c r="A102" s="43" t="str">
        <x:v>PRA-12R-7</x:v>
      </x:c>
      <x:c r="B102" s="43" t="str">
        <x:v>Optional-History</x:v>
      </x:c>
      <x:c r="C102" s="43" t="str">
        <x:v>Task</x:v>
      </x:c>
      <x:c r="D102" s="43" t="str">
        <x:v>Mandatory stabilization; browser QA debt retained</x:v>
      </x:c>
      <x:c r="E102" s="43" t="str">
        <x:v>PRA-12R</x:v>
      </x:c>
      <x:c r="F102" s="43" t="str"/>
      <x:c r="G102" s="43" t="str"/>
      <x:c r="H102" s="43" t="str"/>
      <x:c r="I102" s="43" t="str">
        <x:v>Medium</x:v>
      </x:c>
      <x:c r="J102" s="43" t="str">
        <x:v>Practice Security</x:v>
      </x:c>
      <x:c r="K102" s="43" t="str">
        <x:v>practice</x:v>
      </x:c>
      <x:c r="L102" s="43" t="str">
        <x:v>Historical / Phase 15 debt</x:v>
      </x:c>
      <x:c r="M102" s="43" t="str">
        <x:v>Done with Debt</x:v>
      </x:c>
      <x:c r="N102" s="43" t="str">
        <x:v>docs/PRACTICE_SINGLE_SCOPE_REDUCTION_AUDIT.md</x:v>
      </x:c>
    </x:row>
    <x:row r="103" ht="54" customHeight="1">
      <x:c r="A103" s="43" t="str">
        <x:v>PRA-13A</x:v>
      </x:c>
      <x:c r="B103" s="43" t="str">
        <x:v>Optional-History</x:v>
      </x:c>
      <x:c r="C103" s="43" t="str">
        <x:v>Epic</x:v>
      </x:c>
      <x:c r="D103" s="43" t="str">
        <x:v>Learner Library &amp; State Foundation</x:v>
      </x:c>
      <x:c r="E103" s="43" t="str">
        <x:v>PRA-PROGRAM</x:v>
      </x:c>
      <x:c r="F103" s="43" t="str">
        <x:v>Learner Library &amp; State Foundation</x:v>
      </x:c>
      <x:c r="G103" s="43" t="str">
        <x:v>Bounded catalog, access, URL filters, lazy loading và shared attempt states.</x:v>
      </x:c>
      <x:c r="H103" s="43" t="str">
        <x:v>No unbounded catalog; honest learner state; focused gate green.</x:v>
      </x:c>
      <x:c r="I103" s="43" t="str">
        <x:v>Medium</x:v>
      </x:c>
      <x:c r="J103" s="43" t="str">
        <x:v>Practice Learner</x:v>
      </x:c>
      <x:c r="K103" s="43" t="str">
        <x:v>practice</x:v>
      </x:c>
      <x:c r="L103" s="43" t="str">
        <x:v>Phase 13</x:v>
      </x:c>
      <x:c r="M103" s="43" t="str">
        <x:v>Done</x:v>
      </x:c>
      <x:c r="N103" s="43" t="str">
        <x:v>docs/PRACTICE_PHASE_13_IMPLEMENTATION_AND_GATE.md §13A</x:v>
      </x:c>
    </x:row>
    <x:row r="104" ht="54" customHeight="1">
      <x:c r="A104" s="43" t="str">
        <x:v>PRA-13A-T01</x:v>
      </x:c>
      <x:c r="B104" s="43" t="str">
        <x:v>Optional-History</x:v>
      </x:c>
      <x:c r="C104" s="43" t="str">
        <x:v>Task</x:v>
      </x:c>
      <x:c r="D104" s="43" t="str">
        <x:v>Server-backed bounded catalog and access</x:v>
      </x:c>
      <x:c r="E104" s="43" t="str">
        <x:v>PRA-13A</x:v>
      </x:c>
      <x:c r="F104" s="43" t="str"/>
      <x:c r="G104" s="43" t="str"/>
      <x:c r="H104" s="43" t="str"/>
      <x:c r="I104" s="43" t="str">
        <x:v>Medium</x:v>
      </x:c>
      <x:c r="J104" s="43" t="str">
        <x:v>Practice Learner</x:v>
      </x:c>
      <x:c r="K104" s="43" t="str">
        <x:v>practice</x:v>
      </x:c>
      <x:c r="L104" s="43" t="str">
        <x:v>Phase 13</x:v>
      </x:c>
      <x:c r="M104" s="43" t="str">
        <x:v>Done</x:v>
      </x:c>
      <x:c r="N104" s="43" t="str">
        <x:v>docs/PRACTICE_PHASE_13_IMPLEMENTATION_AND_GATE.md §13A</x:v>
      </x:c>
    </x:row>
    <x:row r="105" ht="54" customHeight="1">
      <x:c r="A105" s="43" t="str">
        <x:v>PRA-13A-T02</x:v>
      </x:c>
      <x:c r="B105" s="43" t="str">
        <x:v>Optional-History</x:v>
      </x:c>
      <x:c r="C105" s="43" t="str">
        <x:v>Task</x:v>
      </x:c>
      <x:c r="D105" s="43" t="str">
        <x:v>URL-backed search/skill filters and lazy loading</x:v>
      </x:c>
      <x:c r="E105" s="43" t="str">
        <x:v>PRA-13A</x:v>
      </x:c>
      <x:c r="F105" s="43" t="str"/>
      <x:c r="G105" s="43" t="str"/>
      <x:c r="H105" s="43" t="str"/>
      <x:c r="I105" s="43" t="str">
        <x:v>Medium</x:v>
      </x:c>
      <x:c r="J105" s="43" t="str">
        <x:v>Practice Learner</x:v>
      </x:c>
      <x:c r="K105" s="43" t="str">
        <x:v>practice</x:v>
      </x:c>
      <x:c r="L105" s="43" t="str">
        <x:v>Phase 13</x:v>
      </x:c>
      <x:c r="M105" s="43" t="str">
        <x:v>Done</x:v>
      </x:c>
      <x:c r="N105" s="43" t="str">
        <x:v>docs/PRACTICE_PHASE_13_IMPLEMENTATION_AND_GATE.md §13A</x:v>
      </x:c>
    </x:row>
    <x:row r="106" ht="54" customHeight="1">
      <x:c r="A106" s="43" t="str">
        <x:v>PRA-13A-T03</x:v>
      </x:c>
      <x:c r="B106" s="43" t="str">
        <x:v>Optional-History</x:v>
      </x:c>
      <x:c r="C106" s="43" t="str">
        <x:v>Task</x:v>
      </x:c>
      <x:c r="D106" s="43" t="str">
        <x:v>Shared attempt-state vocabulary</x:v>
      </x:c>
      <x:c r="E106" s="43" t="str">
        <x:v>PRA-13A</x:v>
      </x:c>
      <x:c r="F106" s="43" t="str"/>
      <x:c r="G106" s="43" t="str"/>
      <x:c r="H106" s="43" t="str"/>
      <x:c r="I106" s="43" t="str">
        <x:v>Medium</x:v>
      </x:c>
      <x:c r="J106" s="43" t="str">
        <x:v>Practice Learner</x:v>
      </x:c>
      <x:c r="K106" s="43" t="str">
        <x:v>practice</x:v>
      </x:c>
      <x:c r="L106" s="43" t="str">
        <x:v>Phase 13</x:v>
      </x:c>
      <x:c r="M106" s="43" t="str">
        <x:v>Done</x:v>
      </x:c>
      <x:c r="N106" s="43" t="str">
        <x:v>docs/PRACTICE_PHASE_13_IMPLEMENTATION_AND_GATE.md §13A</x:v>
      </x:c>
    </x:row>
    <x:row r="107" ht="54" customHeight="1">
      <x:c r="A107" s="43" t="str">
        <x:v>PRA-13A-T04</x:v>
      </x:c>
      <x:c r="B107" s="43" t="str">
        <x:v>Optional-History</x:v>
      </x:c>
      <x:c r="C107" s="43" t="str">
        <x:v>Task</x:v>
      </x:c>
      <x:c r="D107" s="43" t="str">
        <x:v>Route/performance/dead-code evidence</x:v>
      </x:c>
      <x:c r="E107" s="43" t="str">
        <x:v>PRA-13A</x:v>
      </x:c>
      <x:c r="F107" s="43" t="str"/>
      <x:c r="G107" s="43" t="str"/>
      <x:c r="H107" s="43" t="str"/>
      <x:c r="I107" s="43" t="str">
        <x:v>Medium</x:v>
      </x:c>
      <x:c r="J107" s="43" t="str">
        <x:v>Practice Learner</x:v>
      </x:c>
      <x:c r="K107" s="43" t="str">
        <x:v>practice</x:v>
      </x:c>
      <x:c r="L107" s="43" t="str">
        <x:v>Phase 13</x:v>
      </x:c>
      <x:c r="M107" s="43" t="str">
        <x:v>Done</x:v>
      </x:c>
      <x:c r="N107" s="43" t="str">
        <x:v>docs/PRACTICE_PHASE_13_IMPLEMENTATION_AND_GATE.md §13A</x:v>
      </x:c>
    </x:row>
    <x:row r="108" ht="54" customHeight="1">
      <x:c r="A108" s="43" t="str">
        <x:v>PRA-13B</x:v>
      </x:c>
      <x:c r="B108" s="43" t="str">
        <x:v>Optional-History</x:v>
      </x:c>
      <x:c r="C108" s="43" t="str">
        <x:v>Epic</x:v>
      </x:c>
      <x:c r="D108" s="43" t="str">
        <x:v>Set/Test Detail &amp; Preflight</x:v>
      </x:c>
      <x:c r="E108" s="43" t="str">
        <x:v>PRA-PROGRAM</x:v>
      </x:c>
      <x:c r="F108" s="43" t="str">
        <x:v>Set/Test Detail &amp; Preflight</x:v>
      </x:c>
      <x:c r="G108" s="43" t="str">
        <x:v>Immutable attempt routing và media/device preflight.</x:v>
      </x:c>
      <x:c r="H108" s="43" t="str">
        <x:v>Start/resume/retake suy ra từ state và locked version.</x:v>
      </x:c>
      <x:c r="I108" s="43" t="str">
        <x:v>Medium</x:v>
      </x:c>
      <x:c r="J108" s="43" t="str">
        <x:v>Practice Learner</x:v>
      </x:c>
      <x:c r="K108" s="43" t="str">
        <x:v>practice</x:v>
      </x:c>
      <x:c r="L108" s="43" t="str">
        <x:v>Phase 13</x:v>
      </x:c>
      <x:c r="M108" s="43" t="str">
        <x:v>Done</x:v>
      </x:c>
      <x:c r="N108" s="43" t="str">
        <x:v>docs/PRACTICE_PHASE_13_IMPLEMENTATION_AND_GATE.md §13B</x:v>
      </x:c>
    </x:row>
    <x:row r="109" ht="54" customHeight="1">
      <x:c r="A109" s="43" t="str">
        <x:v>PRA-13B-T01</x:v>
      </x:c>
      <x:c r="B109" s="43" t="str">
        <x:v>Optional-History</x:v>
      </x:c>
      <x:c r="C109" s="43" t="str">
        <x:v>Task</x:v>
      </x:c>
      <x:c r="D109" s="43" t="str">
        <x:v>Set/test/skill detail and actions</x:v>
      </x:c>
      <x:c r="E109" s="43" t="str">
        <x:v>PRA-13B</x:v>
      </x:c>
      <x:c r="F109" s="43" t="str"/>
      <x:c r="G109" s="43" t="str"/>
      <x:c r="H109" s="43" t="str"/>
      <x:c r="I109" s="43" t="str">
        <x:v>Medium</x:v>
      </x:c>
      <x:c r="J109" s="43" t="str">
        <x:v>Practice Learner</x:v>
      </x:c>
      <x:c r="K109" s="43" t="str">
        <x:v>practice</x:v>
      </x:c>
      <x:c r="L109" s="43" t="str">
        <x:v>Phase 13</x:v>
      </x:c>
      <x:c r="M109" s="43" t="str">
        <x:v>Done</x:v>
      </x:c>
      <x:c r="N109" s="43" t="str">
        <x:v>docs/PRACTICE_PHASE_13_IMPLEMENTATION_AND_GATE.md §13B</x:v>
      </x:c>
    </x:row>
    <x:row r="110" ht="54" customHeight="1">
      <x:c r="A110" s="43" t="str">
        <x:v>PRA-13B-T02</x:v>
      </x:c>
      <x:c r="B110" s="43" t="str">
        <x:v>Optional-History</x:v>
      </x:c>
      <x:c r="C110" s="43" t="str">
        <x:v>Task</x:v>
      </x:c>
      <x:c r="D110" s="43" t="str">
        <x:v>Immutable version-chain routing</x:v>
      </x:c>
      <x:c r="E110" s="43" t="str">
        <x:v>PRA-13B</x:v>
      </x:c>
      <x:c r="F110" s="43" t="str"/>
      <x:c r="G110" s="43" t="str"/>
      <x:c r="H110" s="43" t="str"/>
      <x:c r="I110" s="43" t="str">
        <x:v>Medium</x:v>
      </x:c>
      <x:c r="J110" s="43" t="str">
        <x:v>Practice Learner</x:v>
      </x:c>
      <x:c r="K110" s="43" t="str">
        <x:v>practice</x:v>
      </x:c>
      <x:c r="L110" s="43" t="str">
        <x:v>Phase 13</x:v>
      </x:c>
      <x:c r="M110" s="43" t="str">
        <x:v>Done</x:v>
      </x:c>
      <x:c r="N110" s="43" t="str">
        <x:v>docs/PRACTICE_PHASE_13_IMPLEMENTATION_AND_GATE.md §13B</x:v>
      </x:c>
    </x:row>
    <x:row r="111" ht="54" customHeight="1">
      <x:c r="A111" s="43" t="str">
        <x:v>PRA-13B-T03</x:v>
      </x:c>
      <x:c r="B111" s="43" t="str">
        <x:v>Optional-History</x:v>
      </x:c>
      <x:c r="C111" s="43" t="str">
        <x:v>Task</x:v>
      </x:c>
      <x:c r="D111" s="43" t="str">
        <x:v>Speaking microphone preflight</x:v>
      </x:c>
      <x:c r="E111" s="43" t="str">
        <x:v>PRA-13B</x:v>
      </x:c>
      <x:c r="F111" s="43" t="str"/>
      <x:c r="G111" s="43" t="str"/>
      <x:c r="H111" s="43" t="str"/>
      <x:c r="I111" s="43" t="str">
        <x:v>Medium</x:v>
      </x:c>
      <x:c r="J111" s="43" t="str">
        <x:v>Practice Learner</x:v>
      </x:c>
      <x:c r="K111" s="43" t="str">
        <x:v>practice</x:v>
      </x:c>
      <x:c r="L111" s="43" t="str">
        <x:v>Phase 13</x:v>
      </x:c>
      <x:c r="M111" s="43" t="str">
        <x:v>Done</x:v>
      </x:c>
      <x:c r="N111" s="43" t="str">
        <x:v>docs/PRACTICE_PHASE_13_IMPLEMENTATION_AND_GATE.md §13B</x:v>
      </x:c>
    </x:row>
    <x:row r="112" ht="54" customHeight="1">
      <x:c r="A112" s="43" t="str">
        <x:v>PRA-13B-T04</x:v>
      </x:c>
      <x:c r="B112" s="43" t="str">
        <x:v>Optional-History</x:v>
      </x:c>
      <x:c r="C112" s="43" t="str">
        <x:v>Task</x:v>
      </x:c>
      <x:c r="D112" s="43" t="str">
        <x:v>Listening speaker/media preflight</x:v>
      </x:c>
      <x:c r="E112" s="43" t="str">
        <x:v>PRA-13B</x:v>
      </x:c>
      <x:c r="F112" s="43" t="str"/>
      <x:c r="G112" s="43" t="str"/>
      <x:c r="H112" s="43" t="str"/>
      <x:c r="I112" s="43" t="str">
        <x:v>Medium</x:v>
      </x:c>
      <x:c r="J112" s="43" t="str">
        <x:v>Practice Learner</x:v>
      </x:c>
      <x:c r="K112" s="43" t="str">
        <x:v>practice</x:v>
      </x:c>
      <x:c r="L112" s="43" t="str">
        <x:v>Phase 13</x:v>
      </x:c>
      <x:c r="M112" s="43" t="str">
        <x:v>Done</x:v>
      </x:c>
      <x:c r="N112" s="43" t="str">
        <x:v>docs/PRACTICE_PHASE_13_IMPLEMENTATION_AND_GATE.md §13B</x:v>
      </x:c>
    </x:row>
    <x:row r="113" ht="54" customHeight="1">
      <x:c r="A113" s="43" t="str">
        <x:v>PRA-13C</x:v>
      </x:c>
      <x:c r="B113" s="43" t="str">
        <x:v>Optional-History</x:v>
      </x:c>
      <x:c r="C113" s="43" t="str">
        <x:v>Epic</x:v>
      </x:c>
      <x:c r="D113" s="43" t="str">
        <x:v>Skill-Native Players</x:v>
      </x:c>
      <x:c r="E113" s="43" t="str">
        <x:v>PRA-PROGRAM</x:v>
      </x:c>
      <x:c r="F113" s="43" t="str">
        <x:v>Skill-Native Players</x:v>
      </x:c>
      <x:c r="G113" s="43" t="str">
        <x:v>R/L, Writing và Speaking players cùng shared shell/media contracts.</x:v>
      </x:c>
      <x:c r="H113" s="43" t="str">
        <x:v>Canonical type delivery, no answer leak và route gate xanh.</x:v>
      </x:c>
      <x:c r="I113" s="43" t="str">
        <x:v>Medium</x:v>
      </x:c>
      <x:c r="J113" s="43" t="str">
        <x:v>Practice Player</x:v>
      </x:c>
      <x:c r="K113" s="43" t="str">
        <x:v>practice</x:v>
      </x:c>
      <x:c r="L113" s="43" t="str">
        <x:v>Phase 13</x:v>
      </x:c>
      <x:c r="M113" s="43" t="str">
        <x:v>Done</x:v>
      </x:c>
      <x:c r="N113" s="43" t="str">
        <x:v>docs/PRACTICE_PHASE_13_IMPLEMENTATION_AND_GATE.md §13C</x:v>
      </x:c>
    </x:row>
    <x:row r="114" ht="54" customHeight="1">
      <x:c r="A114" s="43" t="str">
        <x:v>PRA-13C-T01</x:v>
      </x:c>
      <x:c r="B114" s="43" t="str">
        <x:v>Optional-History</x:v>
      </x:c>
      <x:c r="C114" s="43" t="str">
        <x:v>Task</x:v>
      </x:c>
      <x:c r="D114" s="43" t="str">
        <x:v>Reading/Listening exam shell</x:v>
      </x:c>
      <x:c r="E114" s="43" t="str">
        <x:v>PRA-13C</x:v>
      </x:c>
      <x:c r="F114" s="43" t="str"/>
      <x:c r="G114" s="43" t="str"/>
      <x:c r="H114" s="43" t="str"/>
      <x:c r="I114" s="43" t="str">
        <x:v>Medium</x:v>
      </x:c>
      <x:c r="J114" s="43" t="str">
        <x:v>Practice Player</x:v>
      </x:c>
      <x:c r="K114" s="43" t="str">
        <x:v>practice</x:v>
      </x:c>
      <x:c r="L114" s="43" t="str">
        <x:v>Phase 13</x:v>
      </x:c>
      <x:c r="M114" s="43" t="str">
        <x:v>Done</x:v>
      </x:c>
      <x:c r="N114" s="43" t="str">
        <x:v>docs/PRACTICE_PHASE_13_IMPLEMENTATION_AND_GATE.md §13C</x:v>
      </x:c>
    </x:row>
    <x:row r="115" ht="54" customHeight="1">
      <x:c r="A115" s="43" t="str">
        <x:v>PRA-13C-T02</x:v>
      </x:c>
      <x:c r="B115" s="43" t="str">
        <x:v>Optional-History</x:v>
      </x:c>
      <x:c r="C115" s="43" t="str">
        <x:v>Task</x:v>
      </x:c>
      <x:c r="D115" s="43" t="str">
        <x:v>Dedicated Writing player</x:v>
      </x:c>
      <x:c r="E115" s="43" t="str">
        <x:v>PRA-13C</x:v>
      </x:c>
      <x:c r="F115" s="43" t="str"/>
      <x:c r="G115" s="43" t="str"/>
      <x:c r="H115" s="43" t="str"/>
      <x:c r="I115" s="43" t="str">
        <x:v>Medium</x:v>
      </x:c>
      <x:c r="J115" s="43" t="str">
        <x:v>Practice Player</x:v>
      </x:c>
      <x:c r="K115" s="43" t="str">
        <x:v>practice</x:v>
      </x:c>
      <x:c r="L115" s="43" t="str">
        <x:v>Phase 13</x:v>
      </x:c>
      <x:c r="M115" s="43" t="str">
        <x:v>Done</x:v>
      </x:c>
      <x:c r="N115" s="43" t="str">
        <x:v>docs/PRACTICE_PHASE_13_IMPLEMENTATION_AND_GATE.md §13C</x:v>
      </x:c>
    </x:row>
    <x:row r="116" ht="54" customHeight="1">
      <x:c r="A116" s="43" t="str">
        <x:v>PRA-13C-T03</x:v>
      </x:c>
      <x:c r="B116" s="43" t="str">
        <x:v>Optional-History</x:v>
      </x:c>
      <x:c r="C116" s="43" t="str">
        <x:v>Task</x:v>
      </x:c>
      <x:c r="D116" s="43" t="str">
        <x:v>Dedicated Speaking recording state machine</x:v>
      </x:c>
      <x:c r="E116" s="43" t="str">
        <x:v>PRA-13C</x:v>
      </x:c>
      <x:c r="F116" s="43" t="str"/>
      <x:c r="G116" s="43" t="str"/>
      <x:c r="H116" s="43" t="str"/>
      <x:c r="I116" s="43" t="str">
        <x:v>Medium</x:v>
      </x:c>
      <x:c r="J116" s="43" t="str">
        <x:v>Practice Player</x:v>
      </x:c>
      <x:c r="K116" s="43" t="str">
        <x:v>practice</x:v>
      </x:c>
      <x:c r="L116" s="43" t="str">
        <x:v>Phase 13</x:v>
      </x:c>
      <x:c r="M116" s="43" t="str">
        <x:v>Done</x:v>
      </x:c>
      <x:c r="N116" s="43" t="str">
        <x:v>docs/PRACTICE_PHASE_13_IMPLEMENTATION_AND_GATE.md §13C</x:v>
      </x:c>
    </x:row>
    <x:row r="117" ht="54" customHeight="1">
      <x:c r="A117" s="43" t="str">
        <x:v>PRA-13C-T04</x:v>
      </x:c>
      <x:c r="B117" s="43" t="str">
        <x:v>Optional-History</x:v>
      </x:c>
      <x:c r="C117" s="43" t="str">
        <x:v>Task</x:v>
      </x:c>
      <x:c r="D117" s="43" t="str">
        <x:v>Canonical media and visual fill-blank authoring</x:v>
      </x:c>
      <x:c r="E117" s="43" t="str">
        <x:v>PRA-13C</x:v>
      </x:c>
      <x:c r="F117" s="43" t="str"/>
      <x:c r="G117" s="43" t="str"/>
      <x:c r="H117" s="43" t="str"/>
      <x:c r="I117" s="43" t="str">
        <x:v>Medium</x:v>
      </x:c>
      <x:c r="J117" s="43" t="str">
        <x:v>Practice Player</x:v>
      </x:c>
      <x:c r="K117" s="43" t="str">
        <x:v>practice</x:v>
      </x:c>
      <x:c r="L117" s="43" t="str">
        <x:v>Phase 13</x:v>
      </x:c>
      <x:c r="M117" s="43" t="str">
        <x:v>Done</x:v>
      </x:c>
      <x:c r="N117" s="43" t="str">
        <x:v>docs/PRACTICE_PHASE_13_IMPLEMENTATION_AND_GATE.md §13C</x:v>
      </x:c>
    </x:row>
    <x:row r="118" ht="54" customHeight="1">
      <x:c r="A118" s="43" t="str">
        <x:v>PRA-13C-T05</x:v>
      </x:c>
      <x:c r="B118" s="43" t="str">
        <x:v>Optional-History</x:v>
      </x:c>
      <x:c r="C118" s="43" t="str">
        <x:v>Task</x:v>
      </x:c>
      <x:c r="D118" s="43" t="str">
        <x:v>Answer-leak, route and full-suite gate</x:v>
      </x:c>
      <x:c r="E118" s="43" t="str">
        <x:v>PRA-13C</x:v>
      </x:c>
      <x:c r="F118" s="43" t="str"/>
      <x:c r="G118" s="43" t="str"/>
      <x:c r="H118" s="43" t="str"/>
      <x:c r="I118" s="43" t="str">
        <x:v>Medium</x:v>
      </x:c>
      <x:c r="J118" s="43" t="str">
        <x:v>Practice Player</x:v>
      </x:c>
      <x:c r="K118" s="43" t="str">
        <x:v>practice</x:v>
      </x:c>
      <x:c r="L118" s="43" t="str">
        <x:v>Phase 13</x:v>
      </x:c>
      <x:c r="M118" s="43" t="str">
        <x:v>Done</x:v>
      </x:c>
      <x:c r="N118" s="43" t="str">
        <x:v>docs/PRACTICE_PHASE_13_IMPLEMENTATION_AND_GATE.md §13C</x:v>
      </x:c>
    </x:row>
    <x:row r="119" ht="54" customHeight="1">
      <x:c r="A119" s="43" t="str">
        <x:v>PRA-13D</x:v>
      </x:c>
      <x:c r="B119" s="43" t="str">
        <x:v>Yes</x:v>
      </x:c>
      <x:c r="C119" s="43" t="str">
        <x:v>Epic</x:v>
      </x:c>
      <x:c r="D119" s="43" t="str">
        <x:v>Result &amp; Immutable Explanation Lifecycle</x:v>
      </x:c>
      <x:c r="E119" s="43" t="str">
        <x:v>PRA-PROGRAM</x:v>
      </x:c>
      <x:c r="F119" s="43" t="str">
        <x:v>Result &amp; Immutable Explanation Lifecycle</x:v>
      </x:c>
      <x:c r="G119" s="43" t="str">
        <x:v>Canonical result overview, content-addressed R/L artifacts, durable generation và read-only result.</x:v>
      </x:c>
      <x:c r="H119" s="43" t="str">
        <x:v>Section 6.9.9 scenarios pass; one final consolidated JDK17 validation including full suite.</x:v>
      </x:c>
      <x:c r="I119" s="43" t="str">
        <x:v>Highest</x:v>
      </x:c>
      <x:c r="J119" s="43" t="str">
        <x:v>Practice Result</x:v>
      </x:c>
      <x:c r="K119" s="43" t="str">
        <x:v>practice</x:v>
      </x:c>
      <x:c r="L119" s="43" t="str">
        <x:v>Practice-13D</x:v>
      </x:c>
      <x:c r="M119" s="43" t="str">
        <x:v>Ready for Validation</x:v>
      </x:c>
      <x:c r="N119" s="43" t="str">
        <x:v>docs/PRACTICE_PHASE_13_IMPLEMENTATION_AND_GATE.md §6.9</x:v>
      </x:c>
    </x:row>
    <x:row r="120" ht="54" customHeight="1">
      <x:c r="A120" s="43" t="str">
        <x:v>PRA-13D-01</x:v>
      </x:c>
      <x:c r="B120" s="43" t="str">
        <x:v>Yes</x:v>
      </x:c>
      <x:c r="C120" s="43" t="str">
        <x:v>Story</x:v>
      </x:c>
      <x:c r="D120" s="43" t="str">
        <x:v>Canonical result envelope, assembler, shell and three presenters</x:v>
      </x:c>
      <x:c r="E120" s="43" t="str">
        <x:v>PRA-13D</x:v>
      </x:c>
      <x:c r="F120" s="43" t="str"/>
      <x:c r="G120" s="43" t="str"/>
      <x:c r="H120" s="43" t="str">
        <x:v>One route/assembler/shell; exactly Objective, Writing and holistic Speaking presenters.</x:v>
      </x:c>
      <x:c r="I120" s="43" t="str">
        <x:v>Medium</x:v>
      </x:c>
      <x:c r="J120" s="43" t="str">
        <x:v>Practice Result</x:v>
      </x:c>
      <x:c r="K120" s="43" t="str">
        <x:v>practice</x:v>
      </x:c>
      <x:c r="L120" s="43" t="str">
        <x:v>Practice-13D</x:v>
      </x:c>
      <x:c r="M120" s="43" t="str">
        <x:v>Ready for Validation</x:v>
      </x:c>
      <x:c r="N120" s="43" t="str">
        <x:v>docs/PRACTICE_PHASE_13_IMPLEMENTATION_AND_GATE.md §6.9</x:v>
      </x:c>
    </x:row>
    <x:row r="121" ht="54" customHeight="1">
      <x:c r="A121" s="43" t="str">
        <x:v>PRA-13D-02</x:v>
      </x:c>
      <x:c r="B121" s="43" t="str">
        <x:v>Yes</x:v>
      </x:c>
      <x:c r="C121" s="43" t="str">
        <x:v>Story</x:v>
      </x:c>
      <x:c r="D121" s="43" t="str">
        <x:v>Honest score, state and evidence semantics</x:v>
      </x:c>
      <x:c r="E121" s="43" t="str">
        <x:v>PRA-13D</x:v>
      </x:c>
      <x:c r="F121" s="43" t="str"/>
      <x:c r="G121" s="43" t="str"/>
      <x:c r="H121" s="43" t="str">
        <x:v>No null→0, fabricated arithmetic, unconditional celebration or unsupported metrics.</x:v>
      </x:c>
      <x:c r="I121" s="43" t="str">
        <x:v>Medium</x:v>
      </x:c>
      <x:c r="J121" s="43" t="str">
        <x:v>Practice Result</x:v>
      </x:c>
      <x:c r="K121" s="43" t="str">
        <x:v>practice</x:v>
      </x:c>
      <x:c r="L121" s="43" t="str">
        <x:v>Practice-13D</x:v>
      </x:c>
      <x:c r="M121" s="43" t="str">
        <x:v>Ready for Validation</x:v>
      </x:c>
      <x:c r="N121" s="43" t="str">
        <x:v>docs/PRACTICE_PHASE_13_IMPLEMENTATION_AND_GATE.md §6.9</x:v>
      </x:c>
    </x:row>
    <x:row r="122" ht="54" customHeight="1">
      <x:c r="A122" s="43" t="str">
        <x:v>PRA-13D-03</x:v>
      </x:c>
      <x:c r="B122" s="43" t="str">
        <x:v>Yes</x:v>
      </x:c>
      <x:c r="C122" s="43" t="str">
        <x:v>Task</x:v>
      </x:c>
      <x:c r="D122" s="43" t="str">
        <x:v>Canonical content fingerprint independent of IDs</x:v>
      </x:c>
      <x:c r="E122" s="43" t="str">
        <x:v>PRA-13D</x:v>
      </x:c>
      <x:c r="F122" s="43" t="str"/>
      <x:c r="G122" s="43" t="str"/>
      <x:c r="H122" s="43" t="str">
        <x:v>Includes canonical content/evidence/version tuple; excludes DB/attempt/user IDs.</x:v>
      </x:c>
      <x:c r="I122" s="43" t="str">
        <x:v>Medium</x:v>
      </x:c>
      <x:c r="J122" s="43" t="str">
        <x:v>Practice Result</x:v>
      </x:c>
      <x:c r="K122" s="43" t="str">
        <x:v>practice</x:v>
      </x:c>
      <x:c r="L122" s="43" t="str">
        <x:v>Practice-13D</x:v>
      </x:c>
      <x:c r="M122" s="43" t="str">
        <x:v>Ready for Validation</x:v>
      </x:c>
      <x:c r="N122" s="43" t="str">
        <x:v>docs/PRACTICE_PHASE_13_IMPLEMENTATION_AND_GATE.md §6.9</x:v>
      </x:c>
    </x:row>
    <x:row r="123" ht="54" customHeight="1">
      <x:c r="A123" s="43" t="str">
        <x:v>PRA-13D-03-ST1</x:v>
      </x:c>
      <x:c r="B123" s="43" t="str">
        <x:v>Yes</x:v>
      </x:c>
      <x:c r="C123" s="43" t="str">
        <x:v>Sub-task</x:v>
      </x:c>
      <x:c r="D123" s="43" t="str">
        <x:v>Canonicalize prompt, content JSON and AnswerSpec</x:v>
      </x:c>
      <x:c r="E123" s="43" t="str">
        <x:v>PRA-13D-03</x:v>
      </x:c>
      <x:c r="F123" s="43" t="str"/>
      <x:c r="G123" s="43" t="str"/>
      <x:c r="H123" s="43" t="str">
        <x:v>Equivalent semantic input hashes identically.</x:v>
      </x:c>
      <x:c r="I123" s="43" t="str">
        <x:v>Medium</x:v>
      </x:c>
      <x:c r="J123" s="43" t="str">
        <x:v>Practice Result</x:v>
      </x:c>
      <x:c r="K123" s="43" t="str">
        <x:v>practice</x:v>
      </x:c>
      <x:c r="L123" s="43" t="str">
        <x:v>Practice-13D</x:v>
      </x:c>
      <x:c r="M123" s="43" t="str">
        <x:v>Ready for Validation</x:v>
      </x:c>
      <x:c r="N123" s="43" t="str">
        <x:v>docs/PRACTICE_PHASE_13_IMPLEMENTATION_AND_GATE.md §6.9</x:v>
      </x:c>
    </x:row>
    <x:row r="124" ht="54" customHeight="1">
      <x:c r="A124" s="43" t="str">
        <x:v>PRA-13D-03-ST2</x:v>
      </x:c>
      <x:c r="B124" s="43" t="str">
        <x:v>Yes</x:v>
      </x:c>
      <x:c r="C124" s="43" t="str">
        <x:v>Sub-task</x:v>
      </x:c>
      <x:c r="D124" s="43" t="str">
        <x:v>Hash passage, transcript, image and audio evidence</x:v>
      </x:c>
      <x:c r="E124" s="43" t="str">
        <x:v>PRA-13D-03</x:v>
      </x:c>
      <x:c r="F124" s="43" t="str"/>
      <x:c r="G124" s="43" t="str"/>
      <x:c r="H124" s="43" t="str">
        <x:v>Shared evidence changes invalidate all dependent questions.</x:v>
      </x:c>
      <x:c r="I124" s="43" t="str">
        <x:v>Medium</x:v>
      </x:c>
      <x:c r="J124" s="43" t="str">
        <x:v>Practice Result</x:v>
      </x:c>
      <x:c r="K124" s="43" t="str">
        <x:v>practice</x:v>
      </x:c>
      <x:c r="L124" s="43" t="str">
        <x:v>Practice-13D</x:v>
      </x:c>
      <x:c r="M124" s="43" t="str">
        <x:v>Ready for Validation</x:v>
      </x:c>
      <x:c r="N124" s="43" t="str">
        <x:v>docs/PRACTICE_PHASE_13_IMPLEMENTATION_AND_GATE.md §6.9</x:v>
      </x:c>
    </x:row>
    <x:row r="125" ht="54" customHeight="1">
      <x:c r="A125" s="43" t="str">
        <x:v>PRA-13D-03-ST3</x:v>
      </x:c>
      <x:c r="B125" s="43" t="str">
        <x:v>Yes</x:v>
      </x:c>
      <x:c r="C125" s="43" t="str">
        <x:v>Sub-task</x:v>
      </x:c>
      <x:c r="D125" s="43" t="str">
        <x:v>Fingerprint reuse/invalidation unit tests</x:v>
      </x:c>
      <x:c r="E125" s="43" t="str">
        <x:v>PRA-13D-03</x:v>
      </x:c>
      <x:c r="F125" s="43" t="str"/>
      <x:c r="G125" s="43" t="str"/>
      <x:c r="H125" s="43" t="str">
        <x:v>Equivalent republish zero call; q1-only edit one task; model/prompt/schema/language invalidation.</x:v>
      </x:c>
      <x:c r="I125" s="43" t="str">
        <x:v>Medium</x:v>
      </x:c>
      <x:c r="J125" s="43" t="str">
        <x:v>Practice Result</x:v>
      </x:c>
      <x:c r="K125" s="43" t="str">
        <x:v>practice</x:v>
      </x:c>
      <x:c r="L125" s="43" t="str">
        <x:v>Practice-13D</x:v>
      </x:c>
      <x:c r="M125" s="43" t="str">
        <x:v>Ready for Validation</x:v>
      </x:c>
      <x:c r="N125" s="43" t="str">
        <x:v>docs/PRACTICE_PHASE_13_IMPLEMENTATION_AND_GATE.md §6.9</x:v>
      </x:c>
    </x:row>
    <x:row r="126" ht="54" customHeight="1">
      <x:c r="A126" s="43" t="str">
        <x:v>PRA-13D-04</x:v>
      </x:c>
      <x:c r="B126" s="43" t="str">
        <x:v>Yes</x:v>
      </x:c>
      <x:c r="C126" s="43" t="str">
        <x:v>Task</x:v>
      </x:c>
      <x:c r="D126" s="43" t="str">
        <x:v>Artifact, binding and durable task schema/migration</x:v>
      </x:c>
      <x:c r="E126" s="43" t="str">
        <x:v>PRA-13D</x:v>
      </x:c>
      <x:c r="F126" s="43" t="str"/>
      <x:c r="G126" s="43" t="str"/>
      <x:c r="H126" s="43" t="str">
        <x:v>Unique artifact per provider contract; authoritative version binding; one active task.</x:v>
      </x:c>
      <x:c r="I126" s="43" t="str">
        <x:v>Medium</x:v>
      </x:c>
      <x:c r="J126" s="43" t="str">
        <x:v>Practice Result</x:v>
      </x:c>
      <x:c r="K126" s="43" t="str">
        <x:v>practice</x:v>
      </x:c>
      <x:c r="L126" s="43" t="str">
        <x:v>Practice-13D</x:v>
      </x:c>
      <x:c r="M126" s="43" t="str">
        <x:v>Ready for Validation</x:v>
      </x:c>
      <x:c r="N126" s="43" t="str">
        <x:v>docs/PRACTICE_PHASE_13_IMPLEMENTATION_AND_GATE.md §6.9</x:v>
      </x:c>
    </x:row>
    <x:row r="127" ht="54" customHeight="1">
      <x:c r="A127" s="43" t="str">
        <x:v>PRA-13D-04-ST1</x:v>
      </x:c>
      <x:c r="B127" s="43" t="str">
        <x:v>Yes</x:v>
      </x:c>
      <x:c r="C127" s="43" t="str">
        <x:v>Sub-task</x:v>
      </x:c>
      <x:c r="D127" s="43" t="str">
        <x:v>Migrate old cache to artifact and binding</x:v>
      </x:c>
      <x:c r="E127" s="43" t="str">
        <x:v>PRA-13D-04</x:v>
      </x:c>
      <x:c r="F127" s="43" t="str"/>
      <x:c r="G127" s="43" t="str"/>
      <x:c r="H127" s="43" t="str">
        <x:v>Bound history preserved; unbound legacy rows not guessed.</x:v>
      </x:c>
      <x:c r="I127" s="43" t="str">
        <x:v>Medium</x:v>
      </x:c>
      <x:c r="J127" s="43" t="str">
        <x:v>Practice Result</x:v>
      </x:c>
      <x:c r="K127" s="43" t="str">
        <x:v>practice</x:v>
      </x:c>
      <x:c r="L127" s="43" t="str">
        <x:v>Practice-13D</x:v>
      </x:c>
      <x:c r="M127" s="43" t="str">
        <x:v>Ready for Validation</x:v>
      </x:c>
      <x:c r="N127" s="43" t="str">
        <x:v>docs/PRACTICE_PHASE_13_IMPLEMENTATION_AND_GATE.md §6.9</x:v>
      </x:c>
    </x:row>
    <x:row r="128" ht="54" customHeight="1">
      <x:c r="A128" s="43" t="str">
        <x:v>PRA-13D-04-ST2</x:v>
      </x:c>
      <x:c r="B128" s="43" t="str">
        <x:v>Yes</x:v>
      </x:c>
      <x:c r="C128" s="43" t="str">
        <x:v>Sub-task</x:v>
      </x:c>
      <x:c r="D128" s="43" t="str">
        <x:v>Migration and uniqueness integration proof</x:v>
      </x:c>
      <x:c r="E128" s="43" t="str">
        <x:v>PRA-13D-04</x:v>
      </x:c>
      <x:c r="F128" s="43" t="str"/>
      <x:c r="G128" s="43" t="str"/>
      <x:c r="H128" s="43" t="str">
        <x:v>Fresh/upgrade path and duplicate protection verified.</x:v>
      </x:c>
      <x:c r="I128" s="43" t="str">
        <x:v>Medium</x:v>
      </x:c>
      <x:c r="J128" s="43" t="str">
        <x:v>Practice Result</x:v>
      </x:c>
      <x:c r="K128" s="43" t="str">
        <x:v>practice</x:v>
      </x:c>
      <x:c r="L128" s="43" t="str">
        <x:v>Practice-13D</x:v>
      </x:c>
      <x:c r="M128" s="43" t="str">
        <x:v>Ready for Validation</x:v>
      </x:c>
      <x:c r="N128" s="43" t="str">
        <x:v>docs/PRACTICE_PHASE_13_IMPLEMENTATION_AND_GATE.md §6.9</x:v>
      </x:c>
    </x:row>
    <x:row r="129" ht="54" customHeight="1">
      <x:c r="A129" s="43" t="str">
        <x:v>PRA-13D-05</x:v>
      </x:c>
      <x:c r="B129" s="43" t="str">
        <x:v>Yes</x:v>
      </x:c>
      <x:c r="C129" s="43" t="str">
        <x:v>Task</x:v>
      </x:c>
      <x:c r="D129" s="43" t="str">
        <x:v>After-commit preparation and crash-gap reconciler</x:v>
      </x:c>
      <x:c r="E129" s="43" t="str">
        <x:v>PRA-13D</x:v>
      </x:c>
      <x:c r="F129" s="43" t="str"/>
      <x:c r="G129" s="43" t="str"/>
      <x:c r="H129" s="43" t="str">
        <x:v>Publish transaction has no provider I/O; reconciler idempotently repairs missed preparation.</x:v>
      </x:c>
      <x:c r="I129" s="43" t="str">
        <x:v>Medium</x:v>
      </x:c>
      <x:c r="J129" s="43" t="str">
        <x:v>Practice Result</x:v>
      </x:c>
      <x:c r="K129" s="43" t="str">
        <x:v>practice</x:v>
      </x:c>
      <x:c r="L129" s="43" t="str">
        <x:v>Practice-13D</x:v>
      </x:c>
      <x:c r="M129" s="43" t="str">
        <x:v>Ready for Validation</x:v>
      </x:c>
      <x:c r="N129" s="43" t="str">
        <x:v>docs/PRACTICE_PHASE_13_IMPLEMENTATION_AND_GATE.md §6.9</x:v>
      </x:c>
    </x:row>
    <x:row r="130" ht="54" customHeight="1">
      <x:c r="A130" s="43" t="str">
        <x:v>PRA-13D-05-ST1</x:v>
      </x:c>
      <x:c r="B130" s="43" t="str">
        <x:v>Yes</x:v>
      </x:c>
      <x:c r="C130" s="43" t="str">
        <x:v>Sub-task</x:v>
      </x:c>
      <x:c r="D130" s="43" t="str">
        <x:v>After-commit event preparation</x:v>
      </x:c>
      <x:c r="E130" s="43" t="str">
        <x:v>PRA-13D-05</x:v>
      </x:c>
      <x:c r="F130" s="43" t="str"/>
      <x:c r="G130" s="43" t="str"/>
      <x:c r="H130" s="43" t="str">
        <x:v>Reads committed immutable versions only.</x:v>
      </x:c>
      <x:c r="I130" s="43" t="str">
        <x:v>Medium</x:v>
      </x:c>
      <x:c r="J130" s="43" t="str">
        <x:v>Practice Result</x:v>
      </x:c>
      <x:c r="K130" s="43" t="str">
        <x:v>practice</x:v>
      </x:c>
      <x:c r="L130" s="43" t="str">
        <x:v>Practice-13D</x:v>
      </x:c>
      <x:c r="M130" s="43" t="str">
        <x:v>Ready for Validation</x:v>
      </x:c>
      <x:c r="N130" s="43" t="str">
        <x:v>docs/PRACTICE_PHASE_13_IMPLEMENTATION_AND_GATE.md §6.9</x:v>
      </x:c>
    </x:row>
    <x:row r="131" ht="54" customHeight="1">
      <x:c r="A131" s="43" t="str">
        <x:v>PRA-13D-05-ST2</x:v>
      </x:c>
      <x:c r="B131" s="43" t="str">
        <x:v>Yes</x:v>
      </x:c>
      <x:c r="C131" s="43" t="str">
        <x:v>Sub-task</x:v>
      </x:c>
      <x:c r="D131" s="43" t="str">
        <x:v>Scheduled reconciliation and observability</x:v>
      </x:c>
      <x:c r="E131" s="43" t="str">
        <x:v>PRA-13D-05</x:v>
      </x:c>
      <x:c r="F131" s="43" t="str"/>
      <x:c r="G131" s="43" t="str"/>
      <x:c r="H131" s="43" t="str">
        <x:v>Bounded scan; missing preparation visible and recoverable.</x:v>
      </x:c>
      <x:c r="I131" s="43" t="str">
        <x:v>Medium</x:v>
      </x:c>
      <x:c r="J131" s="43" t="str">
        <x:v>Practice Result</x:v>
      </x:c>
      <x:c r="K131" s="43" t="str">
        <x:v>practice</x:v>
      </x:c>
      <x:c r="L131" s="43" t="str">
        <x:v>Practice-13D</x:v>
      </x:c>
      <x:c r="M131" s="43" t="str">
        <x:v>Ready for Validation</x:v>
      </x:c>
      <x:c r="N131" s="43" t="str">
        <x:v>docs/PRACTICE_PHASE_13_IMPLEMENTATION_AND_GATE.md §6.9</x:v>
      </x:c>
    </x:row>
    <x:row r="132" ht="54" customHeight="1">
      <x:c r="A132" s="43" t="str">
        <x:v>PRA-13D-06</x:v>
      </x:c>
      <x:c r="B132" s="43" t="str">
        <x:v>Yes</x:v>
      </x:c>
      <x:c r="C132" s="43" t="str">
        <x:v>Task</x:v>
      </x:c>
      <x:c r="D132" s="43" t="str">
        <x:v>Multi-node-safe worker, lease, retry and authorized replay</x:v>
      </x:c>
      <x:c r="E132" s="43" t="str">
        <x:v>PRA-13D</x:v>
      </x:c>
      <x:c r="F132" s="43" t="str"/>
      <x:c r="G132" s="43" t="str"/>
      <x:c r="H132" s="43" t="str">
        <x:v>Two nodes never call provider twice for one artifact; bounded backoff/final failure.</x:v>
      </x:c>
      <x:c r="I132" s="43" t="str">
        <x:v>Medium</x:v>
      </x:c>
      <x:c r="J132" s="43" t="str">
        <x:v>Practice Result</x:v>
      </x:c>
      <x:c r="K132" s="43" t="str">
        <x:v>practice</x:v>
      </x:c>
      <x:c r="L132" s="43" t="str">
        <x:v>Practice-13D</x:v>
      </x:c>
      <x:c r="M132" s="43" t="str">
        <x:v>Ready for Validation</x:v>
      </x:c>
      <x:c r="N132" s="43" t="str">
        <x:v>docs/PRACTICE_PHASE_13_IMPLEMENTATION_AND_GATE.md §6.9</x:v>
      </x:c>
    </x:row>
    <x:row r="133" ht="54" customHeight="1">
      <x:c r="A133" s="43" t="str">
        <x:v>PRA-13D-06-ST1</x:v>
      </x:c>
      <x:c r="B133" s="43" t="str">
        <x:v>Yes</x:v>
      </x:c>
      <x:c r="C133" s="43" t="str">
        <x:v>Sub-task</x:v>
      </x:c>
      <x:c r="D133" s="43" t="str">
        <x:v>Atomic claim and lease recovery</x:v>
      </x:c>
      <x:c r="E133" s="43" t="str">
        <x:v>PRA-13D-06</x:v>
      </x:c>
      <x:c r="F133" s="43" t="str"/>
      <x:c r="G133" s="43" t="str"/>
      <x:c r="H133" s="43" t="str">
        <x:v>Expired PROCESSING lease safely reclaimed.</x:v>
      </x:c>
      <x:c r="I133" s="43" t="str">
        <x:v>Medium</x:v>
      </x:c>
      <x:c r="J133" s="43" t="str">
        <x:v>Practice Result</x:v>
      </x:c>
      <x:c r="K133" s="43" t="str">
        <x:v>practice</x:v>
      </x:c>
      <x:c r="L133" s="43" t="str">
        <x:v>Practice-13D</x:v>
      </x:c>
      <x:c r="M133" s="43" t="str">
        <x:v>Ready for Validation</x:v>
      </x:c>
      <x:c r="N133" s="43" t="str">
        <x:v>docs/PRACTICE_PHASE_13_IMPLEMENTATION_AND_GATE.md §6.9</x:v>
      </x:c>
    </x:row>
    <x:row r="134" ht="54" customHeight="1">
      <x:c r="A134" s="43" t="str">
        <x:v>PRA-13D-06-ST2</x:v>
      </x:c>
      <x:c r="B134" s="43" t="str">
        <x:v>Yes</x:v>
      </x:c>
      <x:c r="C134" s="43" t="str">
        <x:v>Sub-task</x:v>
      </x:c>
      <x:c r="D134" s="43" t="str">
        <x:v>Retry/backoff/failure categories</x:v>
      </x:c>
      <x:c r="E134" s="43" t="str">
        <x:v>PRA-13D-06</x:v>
      </x:c>
      <x:c r="F134" s="43" t="str"/>
      <x:c r="G134" s="43" t="str"/>
      <x:c r="H134" s="43" t="str">
        <x:v>Retryable→RETRY_WAIT; exhausted→FAILED; bounded metadata.</x:v>
      </x:c>
      <x:c r="I134" s="43" t="str">
        <x:v>Medium</x:v>
      </x:c>
      <x:c r="J134" s="43" t="str">
        <x:v>Practice Result</x:v>
      </x:c>
      <x:c r="K134" s="43" t="str">
        <x:v>practice</x:v>
      </x:c>
      <x:c r="L134" s="43" t="str">
        <x:v>Practice-13D</x:v>
      </x:c>
      <x:c r="M134" s="43" t="str">
        <x:v>Ready for Validation</x:v>
      </x:c>
      <x:c r="N134" s="43" t="str">
        <x:v>docs/PRACTICE_PHASE_13_IMPLEMENTATION_AND_GATE.md §6.9</x:v>
      </x:c>
    </x:row>
    <x:row r="135" ht="54" customHeight="1">
      <x:c r="A135" s="43" t="str">
        <x:v>PRA-13D-06-ST3</x:v>
      </x:c>
      <x:c r="B135" s="43" t="str">
        <x:v>Yes</x:v>
      </x:c>
      <x:c r="C135" s="43" t="str">
        <x:v>Sub-task</x:v>
      </x:c>
      <x:c r="D135" s="43" t="str">
        <x:v>Authorized idempotent manual retry</x:v>
      </x:c>
      <x:c r="E135" s="43" t="str">
        <x:v>PRA-13D-06</x:v>
      </x:c>
      <x:c r="F135" s="43" t="str"/>
      <x:c r="G135" s="43" t="str"/>
      <x:c r="H135" s="43" t="str">
        <x:v>Publish permission, terminal failure only, cooldown and Retry-After.</x:v>
      </x:c>
      <x:c r="I135" s="43" t="str">
        <x:v>Medium</x:v>
      </x:c>
      <x:c r="J135" s="43" t="str">
        <x:v>Practice Result</x:v>
      </x:c>
      <x:c r="K135" s="43" t="str">
        <x:v>practice</x:v>
      </x:c>
      <x:c r="L135" s="43" t="str">
        <x:v>Practice-13D</x:v>
      </x:c>
      <x:c r="M135" s="43" t="str">
        <x:v>Ready for Validation</x:v>
      </x:c>
      <x:c r="N135" s="43" t="str">
        <x:v>docs/PRACTICE_PHASE_13_IMPLEMENTATION_AND_GATE.md §6.9</x:v>
      </x:c>
    </x:row>
    <x:row r="136" ht="54" customHeight="1">
      <x:c r="A136" s="43" t="str">
        <x:v>PRA-13D-07</x:v>
      </x:c>
      <x:c r="B136" s="43" t="str">
        <x:v>Yes</x:v>
      </x:c>
      <x:c r="C136" s="43" t="str">
        <x:v>Story</x:v>
      </x:c>
      <x:c r="D136" s="43" t="str">
        <x:v>Read-only result lookup and old-attempt isolation</x:v>
      </x:c>
      <x:c r="E136" s="43" t="str">
        <x:v>PRA-13D</x:v>
      </x:c>
      <x:c r="F136" s="43" t="str"/>
      <x:c r="G136" s="43" t="str"/>
      <x:c r="H136" s="43" t="str">
        <x:v>Locked version→binding→artifact; GET performs zero writes/provider calls and no latest fallback.</x:v>
      </x:c>
      <x:c r="I136" s="43" t="str">
        <x:v>Medium</x:v>
      </x:c>
      <x:c r="J136" s="43" t="str">
        <x:v>Practice Result</x:v>
      </x:c>
      <x:c r="K136" s="43" t="str">
        <x:v>practice</x:v>
      </x:c>
      <x:c r="L136" s="43" t="str">
        <x:v>Practice-13D</x:v>
      </x:c>
      <x:c r="M136" s="43" t="str">
        <x:v>Ready for Validation</x:v>
      </x:c>
      <x:c r="N136" s="43" t="str">
        <x:v>docs/PRACTICE_PHASE_13_IMPLEMENTATION_AND_GATE.md §6.9</x:v>
      </x:c>
    </x:row>
    <x:row r="137" ht="54" customHeight="1">
      <x:c r="A137" s="43" t="str">
        <x:v>PRA-13D-07-ST1</x:v>
      </x:c>
      <x:c r="B137" s="43" t="str">
        <x:v>Yes</x:v>
      </x:c>
      <x:c r="C137" s="43" t="str">
        <x:v>Sub-task</x:v>
      </x:c>
      <x:c r="D137" s="43" t="str">
        <x:v>Learner-specific correctness overlay</x:v>
      </x:c>
      <x:c r="E137" s="43" t="str">
        <x:v>PRA-13D-07</x:v>
      </x:c>
      <x:c r="F137" s="43" t="str"/>
      <x:c r="G137" s="43" t="str"/>
      <x:c r="H137" s="43" t="str">
        <x:v>Artifact shared while answer/correctness/points differ per learner.</x:v>
      </x:c>
      <x:c r="I137" s="43" t="str">
        <x:v>Medium</x:v>
      </x:c>
      <x:c r="J137" s="43" t="str">
        <x:v>Practice Result</x:v>
      </x:c>
      <x:c r="K137" s="43" t="str">
        <x:v>practice</x:v>
      </x:c>
      <x:c r="L137" s="43" t="str">
        <x:v>Practice-13D</x:v>
      </x:c>
      <x:c r="M137" s="43" t="str">
        <x:v>Ready for Validation</x:v>
      </x:c>
      <x:c r="N137" s="43" t="str">
        <x:v>docs/PRACTICE_PHASE_13_IMPLEMENTATION_AND_GATE.md §6.9</x:v>
      </x:c>
    </x:row>
    <x:row r="138" ht="54" customHeight="1">
      <x:c r="A138" s="43" t="str">
        <x:v>PRA-13D-07-ST2</x:v>
      </x:c>
      <x:c r="B138" s="43" t="str">
        <x:v>Yes</x:v>
      </x:c>
      <x:c r="C138" s="43" t="str">
        <x:v>Sub-task</x:v>
      </x:c>
      <x:c r="D138" s="43" t="str">
        <x:v>Old/new attempt isolation tests</x:v>
      </x:c>
      <x:c r="E138" s="43" t="str">
        <x:v>PRA-13D-07</x:v>
      </x:c>
      <x:c r="F138" s="43" t="str"/>
      <x:c r="G138" s="43" t="str"/>
      <x:c r="H138" s="43" t="str">
        <x:v>Old attempt reads old binding; new attempt reads new binding.</x:v>
      </x:c>
      <x:c r="I138" s="43" t="str">
        <x:v>Medium</x:v>
      </x:c>
      <x:c r="J138" s="43" t="str">
        <x:v>Practice Result</x:v>
      </x:c>
      <x:c r="K138" s="43" t="str">
        <x:v>practice</x:v>
      </x:c>
      <x:c r="L138" s="43" t="str">
        <x:v>Practice-13D</x:v>
      </x:c>
      <x:c r="M138" s="43" t="str">
        <x:v>Ready for Validation</x:v>
      </x:c>
      <x:c r="N138" s="43" t="str">
        <x:v>docs/PRACTICE_PHASE_13_IMPLEMENTATION_AND_GATE.md §6.9</x:v>
      </x:c>
    </x:row>
    <x:row r="139" ht="54" customHeight="1">
      <x:c r="A139" s="43" t="str">
        <x:v>PRA-13D-08</x:v>
      </x:c>
      <x:c r="B139" s="43" t="str">
        <x:v>Yes</x:v>
      </x:c>
      <x:c r="C139" s="43" t="str">
        <x:v>Task</x:v>
      </x:c>
      <x:c r="D139" s="43" t="str">
        <x:v>Retire parallel result/cache/generator paths</x:v>
      </x:c>
      <x:c r="E139" s="43" t="str">
        <x:v>PRA-13D</x:v>
      </x:c>
      <x:c r="F139" s="43" t="str"/>
      <x:c r="G139" s="43" t="str"/>
      <x:c r="H139" s="43" t="str">
        <x:v>One overview path, one fingerprint builder, one artifact read and one generation command.</x:v>
      </x:c>
      <x:c r="I139" s="43" t="str">
        <x:v>Medium</x:v>
      </x:c>
      <x:c r="J139" s="43" t="str">
        <x:v>Practice Result</x:v>
      </x:c>
      <x:c r="K139" s="43" t="str">
        <x:v>practice</x:v>
      </x:c>
      <x:c r="L139" s="43" t="str">
        <x:v>Practice-13D</x:v>
      </x:c>
      <x:c r="M139" s="43" t="str">
        <x:v>Ready for Validation</x:v>
      </x:c>
      <x:c r="N139" s="43" t="str">
        <x:v>docs/PRACTICE_PHASE_13_IMPLEMENTATION_AND_GATE.md §6.9</x:v>
      </x:c>
    </x:row>
    <x:row r="140" ht="54" customHeight="1">
      <x:c r="A140" s="43" t="str">
        <x:v>PRA-13D-09</x:v>
      </x:c>
      <x:c r="B140" s="43" t="str">
        <x:v>Yes</x:v>
      </x:c>
      <x:c r="C140" s="43" t="str">
        <x:v>Task</x:v>
      </x:c>
      <x:c r="D140" s="43" t="str">
        <x:v>Validate supplemental timer, Listening, progress, PDF crop and Writing points</x:v>
      </x:c>
      <x:c r="E140" s="43" t="str">
        <x:v>PRA-13D</x:v>
      </x:c>
      <x:c r="F140" s="43" t="str"/>
      <x:c r="G140" s="43" t="str"/>
      <x:c r="H140" s="43" t="str">
        <x:v>All supplemental changes included in same phase validation unit.</x:v>
      </x:c>
      <x:c r="I140" s="43" t="str">
        <x:v>Medium</x:v>
      </x:c>
      <x:c r="J140" s="43" t="str">
        <x:v>Practice Result</x:v>
      </x:c>
      <x:c r="K140" s="43" t="str">
        <x:v>practice</x:v>
      </x:c>
      <x:c r="L140" s="43" t="str">
        <x:v>Practice-13D</x:v>
      </x:c>
      <x:c r="M140" s="43" t="str">
        <x:v>Ready for Validation</x:v>
      </x:c>
      <x:c r="N140" s="43" t="str">
        <x:v>docs/PRACTICE_PHASE_13_IMPLEMENTATION_AND_GATE.md §6.9</x:v>
      </x:c>
    </x:row>
    <x:row r="141" ht="54" customHeight="1">
      <x:c r="A141" s="43" t="str">
        <x:v>PRA-13D-10</x:v>
      </x:c>
      <x:c r="B141" s="43" t="str">
        <x:v>Yes</x:v>
      </x:c>
      <x:c r="C141" s="43" t="str">
        <x:v>Task</x:v>
      </x:c>
      <x:c r="D141" s="43" t="str">
        <x:v>Complete-diff review and consolidated validation</x:v>
      </x:c>
      <x:c r="E141" s="43" t="str">
        <x:v>PRA-13D</x:v>
      </x:c>
      <x:c r="F141" s="43" t="str"/>
      <x:c r="G141" s="43" t="str"/>
      <x:c r="H141" s="43" t="str">
        <x:v>READY_FOR_PHASE_VALIDATION report; diff check; JDK17 compile; focused + migration/integration/concurrency + full suite once.</x:v>
      </x:c>
      <x:c r="I141" s="43" t="str">
        <x:v>Medium</x:v>
      </x:c>
      <x:c r="J141" s="43" t="str">
        <x:v>Practice Result</x:v>
      </x:c>
      <x:c r="K141" s="43" t="str">
        <x:v>practice</x:v>
      </x:c>
      <x:c r="L141" s="43" t="str">
        <x:v>Practice-13D</x:v>
      </x:c>
      <x:c r="M141" s="43" t="str">
        <x:v>Ready for Validation</x:v>
      </x:c>
      <x:c r="N141" s="43" t="str">
        <x:v>docs/PRACTICE_PHASE_13_IMPLEMENTATION_AND_GATE.md §6.9</x:v>
      </x:c>
    </x:row>
    <x:row r="142" ht="54" customHeight="1">
      <x:c r="A142" s="43" t="str">
        <x:v>PRA-13D-10-ST1</x:v>
      </x:c>
      <x:c r="B142" s="43" t="str">
        <x:v>Yes</x:v>
      </x:c>
      <x:c r="C142" s="43" t="str">
        <x:v>Sub-task</x:v>
      </x:c>
      <x:c r="D142" s="43" t="str">
        <x:v>Static complete-diff and no-parallel-path review</x:v>
      </x:c>
      <x:c r="E142" s="43" t="str">
        <x:v>PRA-13D-10</x:v>
      </x:c>
      <x:c r="F142" s="43" t="str"/>
      <x:c r="G142" s="43" t="str"/>
      <x:c r="H142" s="43" t="str">
        <x:v>Changed files/issues/commands reported before validation.</x:v>
      </x:c>
      <x:c r="I142" s="43" t="str">
        <x:v>Medium</x:v>
      </x:c>
      <x:c r="J142" s="43" t="str">
        <x:v>Practice Result</x:v>
      </x:c>
      <x:c r="K142" s="43" t="str">
        <x:v>practice</x:v>
      </x:c>
      <x:c r="L142" s="43" t="str">
        <x:v>Practice-13D</x:v>
      </x:c>
      <x:c r="M142" s="43" t="str">
        <x:v>Ready for Validation</x:v>
      </x:c>
      <x:c r="N142" s="43" t="str">
        <x:v>docs/PRACTICE_PHASE_13_IMPLEMENTATION_AND_GATE.md §6.9</x:v>
      </x:c>
    </x:row>
    <x:row r="143" ht="54" customHeight="1">
      <x:c r="A143" s="43" t="str">
        <x:v>PRA-13D-10-ST2</x:v>
      </x:c>
      <x:c r="B143" s="43" t="str">
        <x:v>Yes</x:v>
      </x:c>
      <x:c r="C143" s="43" t="str">
        <x:v>Sub-task</x:v>
      </x:c>
      <x:c r="D143" s="43" t="str">
        <x:v>Run one consolidated automated validation</x:v>
      </x:c>
      <x:c r="E143" s="43" t="str">
        <x:v>PRA-13D-10</x:v>
      </x:c>
      <x:c r="F143" s="43" t="str"/>
      <x:c r="G143" s="43" t="str"/>
      <x:c r="H143" s="43" t="str">
        <x:v>All commands/results/failures/grouped correction recorded.</x:v>
      </x:c>
      <x:c r="I143" s="43" t="str">
        <x:v>Medium</x:v>
      </x:c>
      <x:c r="J143" s="43" t="str">
        <x:v>Practice Result</x:v>
      </x:c>
      <x:c r="K143" s="43" t="str">
        <x:v>practice</x:v>
      </x:c>
      <x:c r="L143" s="43" t="str">
        <x:v>Practice-13D</x:v>
      </x:c>
      <x:c r="M143" s="43" t="str">
        <x:v>Ready for Validation</x:v>
      </x:c>
      <x:c r="N143" s="43" t="str">
        <x:v>docs/PRACTICE_PHASE_13_IMPLEMENTATION_AND_GATE.md §6.9</x:v>
      </x:c>
    </x:row>
    <x:row r="144" ht="54" customHeight="1">
      <x:c r="A144" s="43" t="str">
        <x:v>PRA-13D-10-ST3</x:v>
      </x:c>
      <x:c r="B144" s="43" t="str">
        <x:v>Yes</x:v>
      </x:c>
      <x:c r="C144" s="43" t="str">
        <x:v>Sub-task</x:v>
      </x:c>
      <x:c r="D144" s="43" t="str">
        <x:v>Update phase ledger and closure evidence</x:v>
      </x:c>
      <x:c r="E144" s="43" t="str">
        <x:v>PRA-13D-10</x:v>
      </x:c>
      <x:c r="F144" s="43" t="str"/>
      <x:c r="G144" s="43" t="str"/>
      <x:c r="H144" s="43" t="str">
        <x:v>Do not mark Done until validation evidence is green.</x:v>
      </x:c>
      <x:c r="I144" s="43" t="str">
        <x:v>Medium</x:v>
      </x:c>
      <x:c r="J144" s="43" t="str">
        <x:v>Practice Result</x:v>
      </x:c>
      <x:c r="K144" s="43" t="str">
        <x:v>practice</x:v>
      </x:c>
      <x:c r="L144" s="43" t="str">
        <x:v>Practice-13D</x:v>
      </x:c>
      <x:c r="M144" s="43" t="str">
        <x:v>Ready for Validation</x:v>
      </x:c>
      <x:c r="N144" s="43" t="str">
        <x:v>docs/PRACTICE_PHASE_13_IMPLEMENTATION_AND_GATE.md §6.9</x:v>
      </x:c>
    </x:row>
    <x:row r="145" ht="54" customHeight="1">
      <x:c r="A145" s="43" t="str">
        <x:v>PRA-13E</x:v>
      </x:c>
      <x:c r="B145" s="43" t="str">
        <x:v>Yes</x:v>
      </x:c>
      <x:c r="C145" s="43" t="str">
        <x:v>Epic</x:v>
      </x:c>
      <x:c r="D145" s="43" t="str">
        <x:v>Evidence-Based Result Detail</x:v>
      </x:c>
      <x:c r="E145" s="43" t="str">
        <x:v>PRA-PROGRAM</x:v>
      </x:c>
      <x:c r="F145" s="43" t="str">
        <x:v>Evidence-Based Result Detail</x:v>
      </x:c>
      <x:c r="G145" s="43" t="str">
        <x:v>Canonical learner evidence detail consuming 13D artifacts.</x:v>
      </x:c>
      <x:c r="H145" s="43" t="str">
        <x:v>Learner answer, official key, teacher explanation and AI artifact clearly separated; no second pipeline.</x:v>
      </x:c>
      <x:c r="I145" s="43" t="str">
        <x:v>Medium</x:v>
      </x:c>
      <x:c r="J145" s="43" t="str">
        <x:v>Practice Result</x:v>
      </x:c>
      <x:c r="K145" s="43" t="str">
        <x:v>practice</x:v>
      </x:c>
      <x:c r="L145" s="43" t="str">
        <x:v>Practice-13E</x:v>
      </x:c>
      <x:c r="M145" s="43" t="str">
        <x:v>Backlog</x:v>
      </x:c>
      <x:c r="N145" s="43" t="str">
        <x:v>PRACTICE_PHASE_10_16_EXECUTION_BLUEPRINT.md §13E</x:v>
      </x:c>
    </x:row>
    <x:row r="146" ht="54" customHeight="1">
      <x:c r="A146" s="43" t="str">
        <x:v>PRA-13E-01</x:v>
      </x:c>
      <x:c r="B146" s="43" t="str">
        <x:v>Yes</x:v>
      </x:c>
      <x:c r="C146" s="43" t="str">
        <x:v>Story</x:v>
      </x:c>
      <x:c r="D146" s="43" t="str">
        <x:v>Objective answer/key/teacher/AI separation</x:v>
      </x:c>
      <x:c r="E146" s="43" t="str">
        <x:v>PRA-13E</x:v>
      </x:c>
      <x:c r="F146" s="43" t="str"/>
      <x:c r="G146" s="43" t="str"/>
      <x:c r="H146" s="43" t="str"/>
      <x:c r="I146" s="43" t="str">
        <x:v>Medium</x:v>
      </x:c>
      <x:c r="J146" s="43" t="str">
        <x:v>Practice Result</x:v>
      </x:c>
      <x:c r="K146" s="43" t="str">
        <x:v>practice</x:v>
      </x:c>
      <x:c r="L146" s="43" t="str">
        <x:v>Practice-13E</x:v>
      </x:c>
      <x:c r="M146" s="43" t="str">
        <x:v>Backlog</x:v>
      </x:c>
      <x:c r="N146" s="43" t="str">
        <x:v>PRACTICE_PHASE_10_16_EXECUTION_BLUEPRINT.md §13E</x:v>
      </x:c>
    </x:row>
    <x:row r="147" ht="54" customHeight="1">
      <x:c r="A147" s="43" t="str">
        <x:v>PRA-13E-02</x:v>
      </x:c>
      <x:c r="B147" s="43" t="str">
        <x:v>Yes</x:v>
      </x:c>
      <x:c r="C147" s="43" t="str">
        <x:v>Story</x:v>
      </x:c>
      <x:c r="D147" s="43" t="str">
        <x:v>Passage, transcript and audio evidence anchors</x:v>
      </x:c>
      <x:c r="E147" s="43" t="str">
        <x:v>PRA-13E</x:v>
      </x:c>
      <x:c r="F147" s="43" t="str"/>
      <x:c r="G147" s="43" t="str"/>
      <x:c r="H147" s="43" t="str"/>
      <x:c r="I147" s="43" t="str">
        <x:v>Medium</x:v>
      </x:c>
      <x:c r="J147" s="43" t="str">
        <x:v>Practice Result</x:v>
      </x:c>
      <x:c r="K147" s="43" t="str">
        <x:v>practice</x:v>
      </x:c>
      <x:c r="L147" s="43" t="str">
        <x:v>Practice-13E</x:v>
      </x:c>
      <x:c r="M147" s="43" t="str">
        <x:v>Backlog</x:v>
      </x:c>
      <x:c r="N147" s="43" t="str">
        <x:v>PRACTICE_PHASE_10_16_EXECUTION_BLUEPRINT.md §13E</x:v>
      </x:c>
    </x:row>
    <x:row r="148" ht="54" customHeight="1">
      <x:c r="A148" s="43" t="str">
        <x:v>PRA-13E-03</x:v>
      </x:c>
      <x:c r="B148" s="43" t="str">
        <x:v>Yes</x:v>
      </x:c>
      <x:c r="C148" s="43" t="str">
        <x:v>Story</x:v>
      </x:c>
      <x:c r="D148" s="43" t="str">
        <x:v>Writing original, correction, sample and rubric evidence</x:v>
      </x:c>
      <x:c r="E148" s="43" t="str">
        <x:v>PRA-13E</x:v>
      </x:c>
      <x:c r="F148" s="43" t="str"/>
      <x:c r="G148" s="43" t="str"/>
      <x:c r="H148" s="43" t="str"/>
      <x:c r="I148" s="43" t="str">
        <x:v>Medium</x:v>
      </x:c>
      <x:c r="J148" s="43" t="str">
        <x:v>Practice Result</x:v>
      </x:c>
      <x:c r="K148" s="43" t="str">
        <x:v>practice</x:v>
      </x:c>
      <x:c r="L148" s="43" t="str">
        <x:v>Practice-13E</x:v>
      </x:c>
      <x:c r="M148" s="43" t="str">
        <x:v>Backlog</x:v>
      </x:c>
      <x:c r="N148" s="43" t="str">
        <x:v>PRACTICE_PHASE_10_16_EXECUTION_BLUEPRINT.md §13E</x:v>
      </x:c>
    </x:row>
    <x:row r="149" ht="54" customHeight="1">
      <x:c r="A149" s="43" t="str">
        <x:v>PRA-13E-04</x:v>
      </x:c>
      <x:c r="B149" s="43" t="str">
        <x:v>Yes</x:v>
      </x:c>
      <x:c r="C149" s="43" t="str">
        <x:v>Story</x:v>
      </x:c>
      <x:c r="D149" s="43" t="str">
        <x:v>Speaking recordings, transcript and per-question evidence</x:v>
      </x:c>
      <x:c r="E149" s="43" t="str">
        <x:v>PRA-13E</x:v>
      </x:c>
      <x:c r="F149" s="43" t="str"/>
      <x:c r="G149" s="43" t="str"/>
      <x:c r="H149" s="43" t="str"/>
      <x:c r="I149" s="43" t="str">
        <x:v>Medium</x:v>
      </x:c>
      <x:c r="J149" s="43" t="str">
        <x:v>Practice Result</x:v>
      </x:c>
      <x:c r="K149" s="43" t="str">
        <x:v>practice</x:v>
      </x:c>
      <x:c r="L149" s="43" t="str">
        <x:v>Practice-13E</x:v>
      </x:c>
      <x:c r="M149" s="43" t="str">
        <x:v>Backlog</x:v>
      </x:c>
      <x:c r="N149" s="43" t="str">
        <x:v>PRACTICE_PHASE_10_16_EXECUTION_BLUEPRINT.md §13E</x:v>
      </x:c>
    </x:row>
    <x:row r="150" ht="54" customHeight="1">
      <x:c r="A150" s="43" t="str">
        <x:v>PRA-13E-05</x:v>
      </x:c>
      <x:c r="B150" s="43" t="str">
        <x:v>Yes</x:v>
      </x:c>
      <x:c r="C150" s="43" t="str">
        <x:v>Task</x:v>
      </x:c>
      <x:c r="D150" s="43" t="str">
        <x:v>Playback authorization and privacy boundary</x:v>
      </x:c>
      <x:c r="E150" s="43" t="str">
        <x:v>PRA-13E</x:v>
      </x:c>
      <x:c r="F150" s="43" t="str"/>
      <x:c r="G150" s="43" t="str"/>
      <x:c r="H150" s="43" t="str"/>
      <x:c r="I150" s="43" t="str">
        <x:v>Medium</x:v>
      </x:c>
      <x:c r="J150" s="43" t="str">
        <x:v>Practice Result</x:v>
      </x:c>
      <x:c r="K150" s="43" t="str">
        <x:v>practice</x:v>
      </x:c>
      <x:c r="L150" s="43" t="str">
        <x:v>Practice-13E</x:v>
      </x:c>
      <x:c r="M150" s="43" t="str">
        <x:v>Backlog</x:v>
      </x:c>
      <x:c r="N150" s="43" t="str">
        <x:v>PRACTICE_PHASE_10_16_EXECUTION_BLUEPRINT.md §13E</x:v>
      </x:c>
    </x:row>
    <x:row r="151" ht="54" customHeight="1">
      <x:c r="A151" s="43" t="str">
        <x:v>PRA-13E-06</x:v>
      </x:c>
      <x:c r="B151" s="43" t="str">
        <x:v>Yes</x:v>
      </x:c>
      <x:c r="C151" s="43" t="str">
        <x:v>Task</x:v>
      </x:c>
      <x:c r="D151" s="43" t="str">
        <x:v>Phase 14 immutable report context adapter</x:v>
      </x:c>
      <x:c r="E151" s="43" t="str">
        <x:v>PRA-13E</x:v>
      </x:c>
      <x:c r="F151" s="43" t="str"/>
      <x:c r="G151" s="43" t="str"/>
      <x:c r="H151" s="43" t="str"/>
      <x:c r="I151" s="43" t="str">
        <x:v>Medium</x:v>
      </x:c>
      <x:c r="J151" s="43" t="str">
        <x:v>Practice Result</x:v>
      </x:c>
      <x:c r="K151" s="43" t="str">
        <x:v>practice</x:v>
      </x:c>
      <x:c r="L151" s="43" t="str">
        <x:v>Practice-13E</x:v>
      </x:c>
      <x:c r="M151" s="43" t="str">
        <x:v>Backlog</x:v>
      </x:c>
      <x:c r="N151" s="43" t="str">
        <x:v>PRACTICE_PHASE_10_16_EXECUTION_BLUEPRINT.md §13E</x:v>
      </x:c>
    </x:row>
    <x:row r="152" ht="54" customHeight="1">
      <x:c r="A152" s="43" t="str">
        <x:v>PRA-13E-07</x:v>
      </x:c>
      <x:c r="B152" s="43" t="str">
        <x:v>Yes</x:v>
      </x:c>
      <x:c r="C152" s="43" t="str">
        <x:v>Task</x:v>
      </x:c>
      <x:c r="D152" s="43" t="str">
        <x:v>Replacement proof for legacy detail surfaces</x:v>
      </x:c>
      <x:c r="E152" s="43" t="str">
        <x:v>PRA-13E</x:v>
      </x:c>
      <x:c r="F152" s="43" t="str"/>
      <x:c r="G152" s="43" t="str"/>
      <x:c r="H152" s="43" t="str"/>
      <x:c r="I152" s="43" t="str">
        <x:v>Medium</x:v>
      </x:c>
      <x:c r="J152" s="43" t="str">
        <x:v>Practice Result</x:v>
      </x:c>
      <x:c r="K152" s="43" t="str">
        <x:v>practice</x:v>
      </x:c>
      <x:c r="L152" s="43" t="str">
        <x:v>Practice-13E</x:v>
      </x:c>
      <x:c r="M152" s="43" t="str">
        <x:v>Backlog</x:v>
      </x:c>
      <x:c r="N152" s="43" t="str">
        <x:v>PRACTICE_PHASE_10_16_EXECUTION_BLUEPRINT.md §13E</x:v>
      </x:c>
    </x:row>
    <x:row r="153" ht="54" customHeight="1">
      <x:c r="A153" s="43" t="str">
        <x:v>PRA-13F</x:v>
      </x:c>
      <x:c r="B153" s="43" t="str">
        <x:v>Yes</x:v>
      </x:c>
      <x:c r="C153" s="43" t="str">
        <x:v>Epic</x:v>
      </x:c>
      <x:c r="D153" s="43" t="str">
        <x:v>Progress, Profile &amp; Operational Recovery</x:v>
      </x:c>
      <x:c r="E153" s="43" t="str">
        <x:v>PRA-PROGRAM</x:v>
      </x:c>
      <x:c r="F153" s="43" t="str">
        <x:v>Progress, Profile &amp; Operational Recovery</x:v>
      </x:c>
      <x:c r="G153" s="43" t="str">
        <x:v>Real aggregates and recovery UX reusing 13D lifecycle.</x:v>
      </x:c>
      <x:c r="H153" s="43" t="str">
        <x:v>No decorative percentages; refresh does not call provider; sample/recency/confidence visible.</x:v>
      </x:c>
      <x:c r="I153" s="43" t="str">
        <x:v>Medium</x:v>
      </x:c>
      <x:c r="J153" s="43" t="str">
        <x:v>Practice Progress</x:v>
      </x:c>
      <x:c r="K153" s="43" t="str">
        <x:v>practice</x:v>
      </x:c>
      <x:c r="L153" s="43" t="str">
        <x:v>Practice-13F</x:v>
      </x:c>
      <x:c r="M153" s="43" t="str">
        <x:v>Backlog</x:v>
      </x:c>
      <x:c r="N153" s="43" t="str">
        <x:v>PRACTICE_PHASE_10_16_EXECUTION_BLUEPRINT.md §13F</x:v>
      </x:c>
    </x:row>
    <x:row r="154" ht="54" customHeight="1">
      <x:c r="A154" s="43" t="str">
        <x:v>PRA-13F-01</x:v>
      </x:c>
      <x:c r="B154" s="43" t="str">
        <x:v>Yes</x:v>
      </x:c>
      <x:c r="C154" s="43" t="str">
        <x:v>Story</x:v>
      </x:c>
      <x:c r="D154" s="43" t="str">
        <x:v>Immutable skill and Writing-task aggregation</x:v>
      </x:c>
      <x:c r="E154" s="43" t="str">
        <x:v>PRA-13F</x:v>
      </x:c>
      <x:c r="F154" s="43" t="str"/>
      <x:c r="G154" s="43" t="str"/>
      <x:c r="H154" s="43" t="str"/>
      <x:c r="I154" s="43" t="str">
        <x:v>Medium</x:v>
      </x:c>
      <x:c r="J154" s="43" t="str">
        <x:v>Practice Progress</x:v>
      </x:c>
      <x:c r="K154" s="43" t="str">
        <x:v>practice</x:v>
      </x:c>
      <x:c r="L154" s="43" t="str">
        <x:v>Practice-13F</x:v>
      </x:c>
      <x:c r="M154" s="43" t="str">
        <x:v>Backlog</x:v>
      </x:c>
      <x:c r="N154" s="43" t="str">
        <x:v>PRACTICE_PHASE_10_16_EXECUTION_BLUEPRINT.md §13F</x:v>
      </x:c>
    </x:row>
    <x:row r="155" ht="54" customHeight="1">
      <x:c r="A155" s="43" t="str">
        <x:v>PRA-13F-02</x:v>
      </x:c>
      <x:c r="B155" s="43" t="str">
        <x:v>Yes</x:v>
      </x:c>
      <x:c r="C155" s="43" t="str">
        <x:v>Task</x:v>
      </x:c>
      <x:c r="D155" s="43" t="str">
        <x:v>Partial, pending, unavailable and legacy semantics</x:v>
      </x:c>
      <x:c r="E155" s="43" t="str">
        <x:v>PRA-13F</x:v>
      </x:c>
      <x:c r="F155" s="43" t="str"/>
      <x:c r="G155" s="43" t="str"/>
      <x:c r="H155" s="43" t="str"/>
      <x:c r="I155" s="43" t="str">
        <x:v>Medium</x:v>
      </x:c>
      <x:c r="J155" s="43" t="str">
        <x:v>Practice Progress</x:v>
      </x:c>
      <x:c r="K155" s="43" t="str">
        <x:v>practice</x:v>
      </x:c>
      <x:c r="L155" s="43" t="str">
        <x:v>Practice-13F</x:v>
      </x:c>
      <x:c r="M155" s="43" t="str">
        <x:v>Backlog</x:v>
      </x:c>
      <x:c r="N155" s="43" t="str">
        <x:v>PRACTICE_PHASE_10_16_EXECUTION_BLUEPRINT.md §13F</x:v>
      </x:c>
    </x:row>
    <x:row r="156" ht="54" customHeight="1">
      <x:c r="A156" s="43" t="str">
        <x:v>PRA-13F-03</x:v>
      </x:c>
      <x:c r="B156" s="43" t="str">
        <x:v>Yes</x:v>
      </x:c>
      <x:c r="C156" s="43" t="str">
        <x:v>Story</x:v>
      </x:c>
      <x:c r="D156" s="43" t="str">
        <x:v>Trends and heatmaps with sample/recency/confidence</x:v>
      </x:c>
      <x:c r="E156" s="43" t="str">
        <x:v>PRA-13F</x:v>
      </x:c>
      <x:c r="F156" s="43" t="str"/>
      <x:c r="G156" s="43" t="str"/>
      <x:c r="H156" s="43" t="str"/>
      <x:c r="I156" s="43" t="str">
        <x:v>Medium</x:v>
      </x:c>
      <x:c r="J156" s="43" t="str">
        <x:v>Practice Progress</x:v>
      </x:c>
      <x:c r="K156" s="43" t="str">
        <x:v>practice</x:v>
      </x:c>
      <x:c r="L156" s="43" t="str">
        <x:v>Practice-13F</x:v>
      </x:c>
      <x:c r="M156" s="43" t="str">
        <x:v>Backlog</x:v>
      </x:c>
      <x:c r="N156" s="43" t="str">
        <x:v>PRACTICE_PHASE_10_16_EXECUTION_BLUEPRINT.md §13F</x:v>
      </x:c>
    </x:row>
    <x:row r="157" ht="54" customHeight="1">
      <x:c r="A157" s="43" t="str">
        <x:v>PRA-13F-04</x:v>
      </x:c>
      <x:c r="B157" s="43" t="str">
        <x:v>Yes</x:v>
      </x:c>
      <x:c r="C157" s="43" t="str">
        <x:v>Story</x:v>
      </x:c>
      <x:c r="D157" s="43" t="str">
        <x:v>Practice-more deep links and filter states</x:v>
      </x:c>
      <x:c r="E157" s="43" t="str">
        <x:v>PRA-13F</x:v>
      </x:c>
      <x:c r="F157" s="43" t="str"/>
      <x:c r="G157" s="43" t="str"/>
      <x:c r="H157" s="43" t="str"/>
      <x:c r="I157" s="43" t="str">
        <x:v>Medium</x:v>
      </x:c>
      <x:c r="J157" s="43" t="str">
        <x:v>Practice Progress</x:v>
      </x:c>
      <x:c r="K157" s="43" t="str">
        <x:v>practice</x:v>
      </x:c>
      <x:c r="L157" s="43" t="str">
        <x:v>Practice-13F</x:v>
      </x:c>
      <x:c r="M157" s="43" t="str">
        <x:v>Backlog</x:v>
      </x:c>
      <x:c r="N157" s="43" t="str">
        <x:v>PRACTICE_PHASE_10_16_EXECUTION_BLUEPRINT.md §13F</x:v>
      </x:c>
    </x:row>
    <x:row r="158" ht="54" customHeight="1">
      <x:c r="A158" s="43" t="str">
        <x:v>PRA-13F-05</x:v>
      </x:c>
      <x:c r="B158" s="43" t="str">
        <x:v>Yes</x:v>
      </x:c>
      <x:c r="C158" s="43" t="str">
        <x:v>Story</x:v>
      </x:c>
      <x:c r="D158" s="43" t="str">
        <x:v>Explanation status/retry UX using 13D command</x:v>
      </x:c>
      <x:c r="E158" s="43" t="str">
        <x:v>PRA-13F</x:v>
      </x:c>
      <x:c r="F158" s="43" t="str"/>
      <x:c r="G158" s="43" t="str"/>
      <x:c r="H158" s="43" t="str"/>
      <x:c r="I158" s="43" t="str">
        <x:v>Medium</x:v>
      </x:c>
      <x:c r="J158" s="43" t="str">
        <x:v>Practice Progress</x:v>
      </x:c>
      <x:c r="K158" s="43" t="str">
        <x:v>practice</x:v>
      </x:c>
      <x:c r="L158" s="43" t="str">
        <x:v>Practice-13F</x:v>
      </x:c>
      <x:c r="M158" s="43" t="str">
        <x:v>Backlog</x:v>
      </x:c>
      <x:c r="N158" s="43" t="str">
        <x:v>PRACTICE_PHASE_10_16_EXECUTION_BLUEPRINT.md §13F</x:v>
      </x:c>
    </x:row>
    <x:row r="159" ht="54" customHeight="1">
      <x:c r="A159" s="43" t="str">
        <x:v>PRA-13F-06</x:v>
      </x:c>
      <x:c r="B159" s="43" t="str">
        <x:v>Yes</x:v>
      </x:c>
      <x:c r="C159" s="43" t="str">
        <x:v>Task</x:v>
      </x:c>
      <x:c r="D159" s="43" t="str">
        <x:v>Bounded query and performance contract</x:v>
      </x:c>
      <x:c r="E159" s="43" t="str">
        <x:v>PRA-13F</x:v>
      </x:c>
      <x:c r="F159" s="43" t="str"/>
      <x:c r="G159" s="43" t="str"/>
      <x:c r="H159" s="43" t="str"/>
      <x:c r="I159" s="43" t="str">
        <x:v>Medium</x:v>
      </x:c>
      <x:c r="J159" s="43" t="str">
        <x:v>Practice Progress</x:v>
      </x:c>
      <x:c r="K159" s="43" t="str">
        <x:v>practice</x:v>
      </x:c>
      <x:c r="L159" s="43" t="str">
        <x:v>Practice-13F</x:v>
      </x:c>
      <x:c r="M159" s="43" t="str">
        <x:v>Backlog</x:v>
      </x:c>
      <x:c r="N159" s="43" t="str">
        <x:v>PRACTICE_PHASE_10_16_EXECUTION_BLUEPRINT.md §13F</x:v>
      </x:c>
    </x:row>
    <x:row r="160" ht="54" customHeight="1">
      <x:c r="A160" s="43" t="str">
        <x:v>PRA-13G</x:v>
      </x:c>
      <x:c r="B160" s="43" t="str">
        <x:v>Yes</x:v>
      </x:c>
      <x:c r="C160" s="43" t="str">
        <x:v>Epic</x:v>
      </x:c>
      <x:c r="D160" s="43" t="str">
        <x:v>Responsive, Accessibility &amp; Performance</x:v>
      </x:c>
      <x:c r="E160" s="43" t="str">
        <x:v>PRA-PROGRAM</x:v>
      </x:c>
      <x:c r="F160" s="43" t="str">
        <x:v>Responsive, Accessibility &amp; Performance</x:v>
      </x:c>
      <x:c r="G160" s="43" t="str">
        <x:v>UTF-8, icons, accessibility, responsive và scale sweep.</x:v>
      </x:c>
      <x:c r="H160" s="43" t="str">
        <x:v>No mojibake/overlap; keyboard/screen reader/contrast/reduced motion; realistic load review.</x:v>
      </x:c>
      <x:c r="I160" s="43" t="str">
        <x:v>Medium</x:v>
      </x:c>
      <x:c r="J160" s="43" t="str">
        <x:v>Practice UI/Accessibility</x:v>
      </x:c>
      <x:c r="K160" s="43" t="str">
        <x:v>practice</x:v>
      </x:c>
      <x:c r="L160" s="43" t="str">
        <x:v>Practice-13G</x:v>
      </x:c>
      <x:c r="M160" s="43" t="str">
        <x:v>Backlog</x:v>
      </x:c>
      <x:c r="N160" s="43" t="str">
        <x:v>PRACTICE_PHASE_10_16_EXECUTION_BLUEPRINT.md §13G</x:v>
      </x:c>
    </x:row>
    <x:row r="161" ht="54" customHeight="1">
      <x:c r="A161" s="43" t="str">
        <x:v>PRA-13G-01</x:v>
      </x:c>
      <x:c r="B161" s="43" t="str">
        <x:v>Yes</x:v>
      </x:c>
      <x:c r="C161" s="43" t="str">
        <x:v>Task</x:v>
      </x:c>
      <x:c r="D161" s="43" t="str">
        <x:v>UTF-8 and mojibake end-to-end sweep</x:v>
      </x:c>
      <x:c r="E161" s="43" t="str">
        <x:v>PRA-13G</x:v>
      </x:c>
      <x:c r="F161" s="43" t="str"/>
      <x:c r="G161" s="43" t="str"/>
      <x:c r="H161" s="43" t="str"/>
      <x:c r="I161" s="43" t="str">
        <x:v>Medium</x:v>
      </x:c>
      <x:c r="J161" s="43" t="str">
        <x:v>Practice UI/Accessibility</x:v>
      </x:c>
      <x:c r="K161" s="43" t="str">
        <x:v>practice</x:v>
      </x:c>
      <x:c r="L161" s="43" t="str">
        <x:v>Practice-13G</x:v>
      </x:c>
      <x:c r="M161" s="43" t="str">
        <x:v>Backlog</x:v>
      </x:c>
      <x:c r="N161" s="43" t="str">
        <x:v>PRACTICE_PHASE_10_16_EXECUTION_BLUEPRINT.md §13G</x:v>
      </x:c>
    </x:row>
    <x:row r="162" ht="54" customHeight="1">
      <x:c r="A162" s="43" t="str">
        <x:v>PRA-13G-02</x:v>
      </x:c>
      <x:c r="B162" s="43" t="str">
        <x:v>Yes</x:v>
      </x:c>
      <x:c r="C162" s="43" t="str">
        <x:v>Task</x:v>
      </x:c>
      <x:c r="D162" s="43" t="str">
        <x:v>Consistent SVG/Lucide icon system</x:v>
      </x:c>
      <x:c r="E162" s="43" t="str">
        <x:v>PRA-13G</x:v>
      </x:c>
      <x:c r="F162" s="43" t="str"/>
      <x:c r="G162" s="43" t="str"/>
      <x:c r="H162" s="43" t="str"/>
      <x:c r="I162" s="43" t="str">
        <x:v>Medium</x:v>
      </x:c>
      <x:c r="J162" s="43" t="str">
        <x:v>Practice UI/Accessibility</x:v>
      </x:c>
      <x:c r="K162" s="43" t="str">
        <x:v>practice</x:v>
      </x:c>
      <x:c r="L162" s="43" t="str">
        <x:v>Practice-13G</x:v>
      </x:c>
      <x:c r="M162" s="43" t="str">
        <x:v>Backlog</x:v>
      </x:c>
      <x:c r="N162" s="43" t="str">
        <x:v>PRACTICE_PHASE_10_16_EXECUTION_BLUEPRINT.md §13G</x:v>
      </x:c>
    </x:row>
    <x:row r="163" ht="54" customHeight="1">
      <x:c r="A163" s="43" t="str">
        <x:v>PRA-13G-03</x:v>
      </x:c>
      <x:c r="B163" s="43" t="str">
        <x:v>Yes</x:v>
      </x:c>
      <x:c r="C163" s="43" t="str">
        <x:v>Task</x:v>
      </x:c>
      <x:c r="D163" s="43" t="str">
        <x:v>Keyboard, screen reader, contrast and reduced motion</x:v>
      </x:c>
      <x:c r="E163" s="43" t="str">
        <x:v>PRA-13G</x:v>
      </x:c>
      <x:c r="F163" s="43" t="str"/>
      <x:c r="G163" s="43" t="str"/>
      <x:c r="H163" s="43" t="str"/>
      <x:c r="I163" s="43" t="str">
        <x:v>Medium</x:v>
      </x:c>
      <x:c r="J163" s="43" t="str">
        <x:v>Practice UI/Accessibility</x:v>
      </x:c>
      <x:c r="K163" s="43" t="str">
        <x:v>practice</x:v>
      </x:c>
      <x:c r="L163" s="43" t="str">
        <x:v>Practice-13G</x:v>
      </x:c>
      <x:c r="M163" s="43" t="str">
        <x:v>Backlog</x:v>
      </x:c>
      <x:c r="N163" s="43" t="str">
        <x:v>PRACTICE_PHASE_10_16_EXECUTION_BLUEPRINT.md §13G</x:v>
      </x:c>
    </x:row>
    <x:row r="164" ht="54" customHeight="1">
      <x:c r="A164" s="43" t="str">
        <x:v>PRA-13G-04</x:v>
      </x:c>
      <x:c r="B164" s="43" t="str">
        <x:v>Yes</x:v>
      </x:c>
      <x:c r="C164" s="43" t="str">
        <x:v>Task</x:v>
      </x:c>
      <x:c r="D164" s="43" t="str">
        <x:v>Desktop/mobile overlap matrix</x:v>
      </x:c>
      <x:c r="E164" s="43" t="str">
        <x:v>PRA-13G</x:v>
      </x:c>
      <x:c r="F164" s="43" t="str"/>
      <x:c r="G164" s="43" t="str"/>
      <x:c r="H164" s="43" t="str"/>
      <x:c r="I164" s="43" t="str">
        <x:v>Medium</x:v>
      </x:c>
      <x:c r="J164" s="43" t="str">
        <x:v>Practice UI/Accessibility</x:v>
      </x:c>
      <x:c r="K164" s="43" t="str">
        <x:v>practice</x:v>
      </x:c>
      <x:c r="L164" s="43" t="str">
        <x:v>Practice-13G</x:v>
      </x:c>
      <x:c r="M164" s="43" t="str">
        <x:v>Backlog</x:v>
      </x:c>
      <x:c r="N164" s="43" t="str">
        <x:v>PRACTICE_PHASE_10_16_EXECUTION_BLUEPRINT.md §13G</x:v>
      </x:c>
    </x:row>
    <x:row r="165" ht="54" customHeight="1">
      <x:c r="A165" s="43" t="str">
        <x:v>PRA-13G-05</x:v>
      </x:c>
      <x:c r="B165" s="43" t="str">
        <x:v>Yes</x:v>
      </x:c>
      <x:c r="C165" s="43" t="str">
        <x:v>Task</x:v>
      </x:c>
      <x:c r="D165" s="43" t="str">
        <x:v>Large catalog/history query and index review</x:v>
      </x:c>
      <x:c r="E165" s="43" t="str">
        <x:v>PRA-13G</x:v>
      </x:c>
      <x:c r="F165" s="43" t="str"/>
      <x:c r="G165" s="43" t="str"/>
      <x:c r="H165" s="43" t="str"/>
      <x:c r="I165" s="43" t="str">
        <x:v>Medium</x:v>
      </x:c>
      <x:c r="J165" s="43" t="str">
        <x:v>Practice UI/Accessibility</x:v>
      </x:c>
      <x:c r="K165" s="43" t="str">
        <x:v>practice</x:v>
      </x:c>
      <x:c r="L165" s="43" t="str">
        <x:v>Practice-13G</x:v>
      </x:c>
      <x:c r="M165" s="43" t="str">
        <x:v>Backlog</x:v>
      </x:c>
      <x:c r="N165" s="43" t="str">
        <x:v>PRACTICE_PHASE_10_16_EXECUTION_BLUEPRINT.md §13G</x:v>
      </x:c>
    </x:row>
    <x:row r="166" ht="54" customHeight="1">
      <x:c r="A166" s="43" t="str">
        <x:v>PRA-13H</x:v>
      </x:c>
      <x:c r="B166" s="43" t="str">
        <x:v>Yes</x:v>
      </x:c>
      <x:c r="C166" s="43" t="str">
        <x:v>Epic</x:v>
      </x:c>
      <x:c r="D166" s="43" t="str">
        <x:v>Phase 13 Stabilization &amp; Journey Gate</x:v>
      </x:c>
      <x:c r="E166" s="43" t="str">
        <x:v>PRA-PROGRAM</x:v>
      </x:c>
      <x:c r="F166" s="43" t="str">
        <x:v>Phase 13 Stabilization &amp; Journey Gate</x:v>
      </x:c>
      <x:c r="G166" s="43" t="str">
        <x:v>Final route/test/browser/device closure for Phase 13.</x:v>
      </x:c>
      <x:c r="H166" s="43" t="str">
        <x:v>All-skill journeys, negative states, no answer leak, automated and browser/device evidence green.</x:v>
      </x:c>
      <x:c r="I166" s="43" t="str">
        <x:v>Highest</x:v>
      </x:c>
      <x:c r="J166" s="43" t="str">
        <x:v>Practice Quality Gate</x:v>
      </x:c>
      <x:c r="K166" s="43" t="str">
        <x:v>practice</x:v>
      </x:c>
      <x:c r="L166" s="43" t="str">
        <x:v>Practice-13H</x:v>
      </x:c>
      <x:c r="M166" s="43" t="str">
        <x:v>Backlog</x:v>
      </x:c>
      <x:c r="N166" s="43" t="str">
        <x:v>PRACTICE_PHASE_10_16_EXECUTION_BLUEPRINT.md §13H</x:v>
      </x:c>
    </x:row>
    <x:row r="167" ht="54" customHeight="1">
      <x:c r="A167" s="43" t="str">
        <x:v>PRA-13H-01</x:v>
      </x:c>
      <x:c r="B167" s="43" t="str">
        <x:v>Yes</x:v>
      </x:c>
      <x:c r="C167" s="43" t="str">
        <x:v>Task</x:v>
      </x:c>
      <x:c r="D167" s="43" t="str">
        <x:v>Route/controller/template/script/dead-code audit</x:v>
      </x:c>
      <x:c r="E167" s="43" t="str">
        <x:v>PRA-13H</x:v>
      </x:c>
      <x:c r="F167" s="43" t="str"/>
      <x:c r="G167" s="43" t="str"/>
      <x:c r="H167" s="43" t="str"/>
      <x:c r="I167" s="43" t="str">
        <x:v>Medium</x:v>
      </x:c>
      <x:c r="J167" s="43" t="str">
        <x:v>Practice Quality Gate</x:v>
      </x:c>
      <x:c r="K167" s="43" t="str">
        <x:v>practice</x:v>
      </x:c>
      <x:c r="L167" s="43" t="str">
        <x:v>Practice-13H</x:v>
      </x:c>
      <x:c r="M167" s="43" t="str">
        <x:v>Backlog</x:v>
      </x:c>
      <x:c r="N167" s="43" t="str">
        <x:v>PRACTICE_PHASE_10_16_EXECUTION_BLUEPRINT.md §13H</x:v>
      </x:c>
    </x:row>
    <x:row r="168" ht="54" customHeight="1">
      <x:c r="A168" s="43" t="str">
        <x:v>PRA-13H-02</x:v>
      </x:c>
      <x:c r="B168" s="43" t="str">
        <x:v>Yes</x:v>
      </x:c>
      <x:c r="C168" s="43" t="str">
        <x:v>Task</x:v>
      </x:c>
      <x:c r="D168" s="43" t="str">
        <x:v>R/L three-type, Writing Q51-Q54 and Speaking E2E</x:v>
      </x:c>
      <x:c r="E168" s="43" t="str">
        <x:v>PRA-13H</x:v>
      </x:c>
      <x:c r="F168" s="43" t="str"/>
      <x:c r="G168" s="43" t="str"/>
      <x:c r="H168" s="43" t="str"/>
      <x:c r="I168" s="43" t="str">
        <x:v>Medium</x:v>
      </x:c>
      <x:c r="J168" s="43" t="str">
        <x:v>Practice Quality Gate</x:v>
      </x:c>
      <x:c r="K168" s="43" t="str">
        <x:v>practice</x:v>
      </x:c>
      <x:c r="L168" s="43" t="str">
        <x:v>Practice-13H</x:v>
      </x:c>
      <x:c r="M168" s="43" t="str">
        <x:v>Backlog</x:v>
      </x:c>
      <x:c r="N168" s="43" t="str">
        <x:v>PRACTICE_PHASE_10_16_EXECUTION_BLUEPRINT.md §13H</x:v>
      </x:c>
    </x:row>
    <x:row r="169" ht="54" customHeight="1">
      <x:c r="A169" s="43" t="str">
        <x:v>PRA-13H-03</x:v>
      </x:c>
      <x:c r="B169" s="43" t="str">
        <x:v>Yes</x:v>
      </x:c>
      <x:c r="C169" s="43" t="str">
        <x:v>Task</x:v>
      </x:c>
      <x:c r="D169" s="43" t="str">
        <x:v>Resume, retake, result, detail and progress journeys</x:v>
      </x:c>
      <x:c r="E169" s="43" t="str">
        <x:v>PRA-13H</x:v>
      </x:c>
      <x:c r="F169" s="43" t="str"/>
      <x:c r="G169" s="43" t="str"/>
      <x:c r="H169" s="43" t="str"/>
      <x:c r="I169" s="43" t="str">
        <x:v>Medium</x:v>
      </x:c>
      <x:c r="J169" s="43" t="str">
        <x:v>Practice Quality Gate</x:v>
      </x:c>
      <x:c r="K169" s="43" t="str">
        <x:v>practice</x:v>
      </x:c>
      <x:c r="L169" s="43" t="str">
        <x:v>Practice-13H</x:v>
      </x:c>
      <x:c r="M169" s="43" t="str">
        <x:v>Backlog</x:v>
      </x:c>
      <x:c r="N169" s="43" t="str">
        <x:v>PRACTICE_PHASE_10_16_EXECUTION_BLUEPRINT.md §13H</x:v>
      </x:c>
    </x:row>
    <x:row r="170" ht="54" customHeight="1">
      <x:c r="A170" s="43" t="str">
        <x:v>PRA-13H-04</x:v>
      </x:c>
      <x:c r="B170" s="43" t="str">
        <x:v>Yes</x:v>
      </x:c>
      <x:c r="C170" s="43" t="str">
        <x:v>Task</x:v>
      </x:c>
      <x:c r="D170" s="43" t="str">
        <x:v>Authorization, ownership and answer-leak regression</x:v>
      </x:c>
      <x:c r="E170" s="43" t="str">
        <x:v>PRA-13H</x:v>
      </x:c>
      <x:c r="F170" s="43" t="str"/>
      <x:c r="G170" s="43" t="str"/>
      <x:c r="H170" s="43" t="str"/>
      <x:c r="I170" s="43" t="str">
        <x:v>Medium</x:v>
      </x:c>
      <x:c r="J170" s="43" t="str">
        <x:v>Practice Quality Gate</x:v>
      </x:c>
      <x:c r="K170" s="43" t="str">
        <x:v>practice</x:v>
      </x:c>
      <x:c r="L170" s="43" t="str">
        <x:v>Practice-13H</x:v>
      </x:c>
      <x:c r="M170" s="43" t="str">
        <x:v>Backlog</x:v>
      </x:c>
      <x:c r="N170" s="43" t="str">
        <x:v>PRACTICE_PHASE_10_16_EXECUTION_BLUEPRINT.md §13H</x:v>
      </x:c>
    </x:row>
    <x:row r="171" ht="54" customHeight="1">
      <x:c r="A171" s="43" t="str">
        <x:v>PRA-13H-05</x:v>
      </x:c>
      <x:c r="B171" s="43" t="str">
        <x:v>Yes</x:v>
      </x:c>
      <x:c r="C171" s="43" t="str">
        <x:v>Task</x:v>
      </x:c>
      <x:c r="D171" s="43" t="str">
        <x:v>Browser/device/a11y/failure-state QA</x:v>
      </x:c>
      <x:c r="E171" s="43" t="str">
        <x:v>PRA-13H</x:v>
      </x:c>
      <x:c r="F171" s="43" t="str"/>
      <x:c r="G171" s="43" t="str"/>
      <x:c r="H171" s="43" t="str"/>
      <x:c r="I171" s="43" t="str">
        <x:v>Medium</x:v>
      </x:c>
      <x:c r="J171" s="43" t="str">
        <x:v>Practice Quality Gate</x:v>
      </x:c>
      <x:c r="K171" s="43" t="str">
        <x:v>practice</x:v>
      </x:c>
      <x:c r="L171" s="43" t="str">
        <x:v>Practice-13H</x:v>
      </x:c>
      <x:c r="M171" s="43" t="str">
        <x:v>Backlog</x:v>
      </x:c>
      <x:c r="N171" s="43" t="str">
        <x:v>PRACTICE_PHASE_10_16_EXECUTION_BLUEPRINT.md §13H</x:v>
      </x:c>
    </x:row>
    <x:row r="172" ht="54" customHeight="1">
      <x:c r="A172" s="43" t="str">
        <x:v>PRA-13H-06</x:v>
      </x:c>
      <x:c r="B172" s="43" t="str">
        <x:v>Yes</x:v>
      </x:c>
      <x:c r="C172" s="43" t="str">
        <x:v>Task</x:v>
      </x:c>
      <x:c r="D172" s="43" t="str">
        <x:v>Final suite and Phase 13 closure verdict</x:v>
      </x:c>
      <x:c r="E172" s="43" t="str">
        <x:v>PRA-13H</x:v>
      </x:c>
      <x:c r="F172" s="43" t="str"/>
      <x:c r="G172" s="43" t="str"/>
      <x:c r="H172" s="43" t="str"/>
      <x:c r="I172" s="43" t="str">
        <x:v>Medium</x:v>
      </x:c>
      <x:c r="J172" s="43" t="str">
        <x:v>Practice Quality Gate</x:v>
      </x:c>
      <x:c r="K172" s="43" t="str">
        <x:v>practice</x:v>
      </x:c>
      <x:c r="L172" s="43" t="str">
        <x:v>Practice-13H</x:v>
      </x:c>
      <x:c r="M172" s="43" t="str">
        <x:v>Backlog</x:v>
      </x:c>
      <x:c r="N172" s="43" t="str">
        <x:v>PRACTICE_PHASE_10_16_EXECUTION_BLUEPRINT.md §13H</x:v>
      </x:c>
    </x:row>
    <x:row r="173" ht="54" customHeight="1">
      <x:c r="A173" s="43" t="str">
        <x:v>PRA-14</x:v>
      </x:c>
      <x:c r="B173" s="43" t="str">
        <x:v>Yes</x:v>
      </x:c>
      <x:c r="C173" s="43" t="str">
        <x:v>Epic</x:v>
      </x:c>
      <x:c r="D173" s="43" t="str">
        <x:v>Report an Error &amp; Content Review</x:v>
      </x:c>
      <x:c r="E173" s="43" t="str">
        <x:v>PRA-PROGRAM</x:v>
      </x:c>
      <x:c r="F173" s="43" t="str">
        <x:v>Report an Error &amp; Content Review</x:v>
      </x:c>
      <x:c r="G173" s="43" t="str">
        <x:v>Learner-visible content error report and reviewer correction loop.</x:v>
      </x:c>
      <x:c r="H173" s="43" t="str">
        <x:v>Immutable report context, privacy, dedupe, new-version correction and E2E audit trail.</x:v>
      </x:c>
      <x:c r="I173" s="43" t="str">
        <x:v>Medium</x:v>
      </x:c>
      <x:c r="J173" s="43" t="str">
        <x:v>Practice Content Review</x:v>
      </x:c>
      <x:c r="K173" s="43" t="str">
        <x:v>practice</x:v>
      </x:c>
      <x:c r="L173" s="43" t="str">
        <x:v>Practice-14</x:v>
      </x:c>
      <x:c r="M173" s="43" t="str">
        <x:v>Backlog</x:v>
      </x:c>
      <x:c r="N173" s="43" t="str">
        <x:v>PRACTICE_PHASE_10_16_EXECUTION_BLUEPRINT.md §Phase 14</x:v>
      </x:c>
    </x:row>
    <x:row r="174" ht="54" customHeight="1">
      <x:c r="A174" s="43" t="str">
        <x:v>PRA-14-A</x:v>
      </x:c>
      <x:c r="B174" s="43" t="str">
        <x:v>Yes</x:v>
      </x:c>
      <x:c r="C174" s="43" t="str">
        <x:v>Story</x:v>
      </x:c>
      <x:c r="D174" s="43" t="str">
        <x:v>Entry points and immutable context</x:v>
      </x:c>
      <x:c r="E174" s="43" t="str">
        <x:v>PRA-14</x:v>
      </x:c>
      <x:c r="F174" s="43" t="str"/>
      <x:c r="G174" s="43" t="str"/>
      <x:c r="H174" s="43" t="str"/>
      <x:c r="I174" s="43" t="str">
        <x:v>Medium</x:v>
      </x:c>
      <x:c r="J174" s="43" t="str">
        <x:v>Practice Content Review</x:v>
      </x:c>
      <x:c r="K174" s="43" t="str">
        <x:v>practice</x:v>
      </x:c>
      <x:c r="L174" s="43" t="str">
        <x:v>Practice-14</x:v>
      </x:c>
      <x:c r="M174" s="43" t="str">
        <x:v>Backlog</x:v>
      </x:c>
      <x:c r="N174" s="43" t="str">
        <x:v>PRACTICE_PHASE_10_16_EXECUTION_BLUEPRINT.md §Phase 14</x:v>
      </x:c>
    </x:row>
    <x:row r="175" ht="54" customHeight="1">
      <x:c r="A175" s="43" t="str">
        <x:v>PRA-14-A-ST1</x:v>
      </x:c>
      <x:c r="B175" s="43" t="str">
        <x:v>Yes</x:v>
      </x:c>
      <x:c r="C175" s="43" t="str">
        <x:v>Sub-task</x:v>
      </x:c>
      <x:c r="D175" s="43" t="str">
        <x:v>Server-resolve target/version/attempt/view context</x:v>
      </x:c>
      <x:c r="E175" s="43" t="str">
        <x:v>PRA-14-A</x:v>
      </x:c>
      <x:c r="F175" s="43" t="str"/>
      <x:c r="G175" s="43" t="str"/>
      <x:c r="H175" s="43" t="str"/>
      <x:c r="I175" s="43" t="str">
        <x:v>Medium</x:v>
      </x:c>
      <x:c r="J175" s="43" t="str">
        <x:v>Practice Content Review</x:v>
      </x:c>
      <x:c r="K175" s="43" t="str">
        <x:v>practice</x:v>
      </x:c>
      <x:c r="L175" s="43" t="str">
        <x:v>Practice-14</x:v>
      </x:c>
      <x:c r="M175" s="43" t="str">
        <x:v>Backlog</x:v>
      </x:c>
      <x:c r="N175" s="43" t="str">
        <x:v>PRACTICE_PHASE_10_16_EXECUTION_BLUEPRINT.md §Phase 14</x:v>
      </x:c>
    </x:row>
    <x:row r="176" ht="54" customHeight="1">
      <x:c r="A176" s="43" t="str">
        <x:v>PRA-14-B</x:v>
      </x:c>
      <x:c r="B176" s="43" t="str">
        <x:v>Yes</x:v>
      </x:c>
      <x:c r="C176" s="43" t="str">
        <x:v>Story</x:v>
      </x:c>
      <x:c r="D176" s="43" t="str">
        <x:v>Learner form and safe evidence snapshot</x:v>
      </x:c>
      <x:c r="E176" s="43" t="str">
        <x:v>PRA-14</x:v>
      </x:c>
      <x:c r="F176" s="43" t="str"/>
      <x:c r="G176" s="43" t="str"/>
      <x:c r="H176" s="43" t="str"/>
      <x:c r="I176" s="43" t="str">
        <x:v>Medium</x:v>
      </x:c>
      <x:c r="J176" s="43" t="str">
        <x:v>Practice Content Review</x:v>
      </x:c>
      <x:c r="K176" s="43" t="str">
        <x:v>practice</x:v>
      </x:c>
      <x:c r="L176" s="43" t="str">
        <x:v>Practice-14</x:v>
      </x:c>
      <x:c r="M176" s="43" t="str">
        <x:v>Backlog</x:v>
      </x:c>
      <x:c r="N176" s="43" t="str">
        <x:v>PRACTICE_PHASE_10_16_EXECUTION_BLUEPRINT.md §Phase 14</x:v>
      </x:c>
    </x:row>
    <x:row r="177" ht="54" customHeight="1">
      <x:c r="A177" s="43" t="str">
        <x:v>PRA-14-B-ST1</x:v>
      </x:c>
      <x:c r="B177" s="43" t="str">
        <x:v>Yes</x:v>
      </x:c>
      <x:c r="C177" s="43" t="str">
        <x:v>Sub-task</x:v>
      </x:c>
      <x:c r="D177" s="43" t="str">
        <x:v>Attachment consent, MIME, size, private storage and retention</x:v>
      </x:c>
      <x:c r="E177" s="43" t="str">
        <x:v>PRA-14-B</x:v>
      </x:c>
      <x:c r="F177" s="43" t="str"/>
      <x:c r="G177" s="43" t="str"/>
      <x:c r="H177" s="43" t="str"/>
      <x:c r="I177" s="43" t="str">
        <x:v>Medium</x:v>
      </x:c>
      <x:c r="J177" s="43" t="str">
        <x:v>Practice Content Review</x:v>
      </x:c>
      <x:c r="K177" s="43" t="str">
        <x:v>practice</x:v>
      </x:c>
      <x:c r="L177" s="43" t="str">
        <x:v>Practice-14</x:v>
      </x:c>
      <x:c r="M177" s="43" t="str">
        <x:v>Backlog</x:v>
      </x:c>
      <x:c r="N177" s="43" t="str">
        <x:v>PRACTICE_PHASE_10_16_EXECUTION_BLUEPRINT.md §Phase 14</x:v>
      </x:c>
    </x:row>
    <x:row r="178" ht="54" customHeight="1">
      <x:c r="A178" s="43" t="str">
        <x:v>PRA-14-C</x:v>
      </x:c>
      <x:c r="B178" s="43" t="str">
        <x:v>Yes</x:v>
      </x:c>
      <x:c r="C178" s="43" t="str">
        <x:v>Task</x:v>
      </x:c>
      <x:c r="D178" s="43" t="str">
        <x:v>Status history, deduplication, rate limit and idempotency</x:v>
      </x:c>
      <x:c r="E178" s="43" t="str">
        <x:v>PRA-14</x:v>
      </x:c>
      <x:c r="F178" s="43" t="str"/>
      <x:c r="G178" s="43" t="str"/>
      <x:c r="H178" s="43" t="str"/>
      <x:c r="I178" s="43" t="str">
        <x:v>Medium</x:v>
      </x:c>
      <x:c r="J178" s="43" t="str">
        <x:v>Practice Content Review</x:v>
      </x:c>
      <x:c r="K178" s="43" t="str">
        <x:v>practice</x:v>
      </x:c>
      <x:c r="L178" s="43" t="str">
        <x:v>Practice-14</x:v>
      </x:c>
      <x:c r="M178" s="43" t="str">
        <x:v>Backlog</x:v>
      </x:c>
      <x:c r="N178" s="43" t="str">
        <x:v>PRACTICE_PHASE_10_16_EXECUTION_BLUEPRINT.md §Phase 14</x:v>
      </x:c>
    </x:row>
    <x:row r="179" ht="54" customHeight="1">
      <x:c r="A179" s="43" t="str">
        <x:v>PRA-14-C-ST1</x:v>
      </x:c>
      <x:c r="B179" s="43" t="str">
        <x:v>Yes</x:v>
      </x:c>
      <x:c r="C179" s="43" t="str">
        <x:v>Sub-task</x:v>
      </x:c>
      <x:c r="D179" s="43" t="str">
        <x:v>Map legacy/new status vocabulary and migration</x:v>
      </x:c>
      <x:c r="E179" s="43" t="str">
        <x:v>PRA-14-C</x:v>
      </x:c>
      <x:c r="F179" s="43" t="str"/>
      <x:c r="G179" s="43" t="str"/>
      <x:c r="H179" s="43" t="str"/>
      <x:c r="I179" s="43" t="str">
        <x:v>Medium</x:v>
      </x:c>
      <x:c r="J179" s="43" t="str">
        <x:v>Practice Content Review</x:v>
      </x:c>
      <x:c r="K179" s="43" t="str">
        <x:v>practice</x:v>
      </x:c>
      <x:c r="L179" s="43" t="str">
        <x:v>Practice-14</x:v>
      </x:c>
      <x:c r="M179" s="43" t="str">
        <x:v>Backlog</x:v>
      </x:c>
      <x:c r="N179" s="43" t="str">
        <x:v>PRACTICE_PHASE_10_16_EXECUTION_BLUEPRINT.md §Phase 14</x:v>
      </x:c>
    </x:row>
    <x:row r="180" ht="54" customHeight="1">
      <x:c r="A180" s="43" t="str">
        <x:v>PRA-14-D</x:v>
      </x:c>
      <x:c r="B180" s="43" t="str">
        <x:v>Yes</x:v>
      </x:c>
      <x:c r="C180" s="43" t="str">
        <x:v>Story</x:v>
      </x:c>
      <x:c r="D180" s="43" t="str">
        <x:v>Reviewer queue, authorization and correction semantics</x:v>
      </x:c>
      <x:c r="E180" s="43" t="str">
        <x:v>PRA-14</x:v>
      </x:c>
      <x:c r="F180" s="43" t="str"/>
      <x:c r="G180" s="43" t="str"/>
      <x:c r="H180" s="43" t="str"/>
      <x:c r="I180" s="43" t="str">
        <x:v>Medium</x:v>
      </x:c>
      <x:c r="J180" s="43" t="str">
        <x:v>Practice Content Review</x:v>
      </x:c>
      <x:c r="K180" s="43" t="str">
        <x:v>practice</x:v>
      </x:c>
      <x:c r="L180" s="43" t="str">
        <x:v>Practice-14</x:v>
      </x:c>
      <x:c r="M180" s="43" t="str">
        <x:v>Backlog</x:v>
      </x:c>
      <x:c r="N180" s="43" t="str">
        <x:v>PRACTICE_PHASE_10_16_EXECUTION_BLUEPRINT.md §Phase 14</x:v>
      </x:c>
    </x:row>
    <x:row r="181" ht="54" customHeight="1">
      <x:c r="A181" s="43" t="str">
        <x:v>PRA-14-D-ST1</x:v>
      </x:c>
      <x:c r="B181" s="43" t="str">
        <x:v>Yes</x:v>
      </x:c>
      <x:c r="C181" s="43" t="str">
        <x:v>Sub-task</x:v>
      </x:c>
      <x:c r="D181" s="43" t="str">
        <x:v>Create draft/new version or superseding artifact; never mutate published evidence</x:v>
      </x:c>
      <x:c r="E181" s="43" t="str">
        <x:v>PRA-14-D</x:v>
      </x:c>
      <x:c r="F181" s="43" t="str"/>
      <x:c r="G181" s="43" t="str"/>
      <x:c r="H181" s="43" t="str"/>
      <x:c r="I181" s="43" t="str">
        <x:v>Medium</x:v>
      </x:c>
      <x:c r="J181" s="43" t="str">
        <x:v>Practice Content Review</x:v>
      </x:c>
      <x:c r="K181" s="43" t="str">
        <x:v>practice</x:v>
      </x:c>
      <x:c r="L181" s="43" t="str">
        <x:v>Practice-14</x:v>
      </x:c>
      <x:c r="M181" s="43" t="str">
        <x:v>Backlog</x:v>
      </x:c>
      <x:c r="N181" s="43" t="str">
        <x:v>PRACTICE_PHASE_10_16_EXECUTION_BLUEPRINT.md §Phase 14</x:v>
      </x:c>
    </x:row>
    <x:row r="182" ht="54" customHeight="1">
      <x:c r="A182" s="43" t="str">
        <x:v>PRA-14-E</x:v>
      </x:c>
      <x:c r="B182" s="43" t="str">
        <x:v>Yes</x:v>
      </x:c>
      <x:c r="C182" s="43" t="str">
        <x:v>Story</x:v>
      </x:c>
      <x:c r="D182" s="43" t="str">
        <x:v>Resolution feedback, SLA, notification and metrics</x:v>
      </x:c>
      <x:c r="E182" s="43" t="str">
        <x:v>PRA-14</x:v>
      </x:c>
      <x:c r="F182" s="43" t="str"/>
      <x:c r="G182" s="43" t="str"/>
      <x:c r="H182" s="43" t="str"/>
      <x:c r="I182" s="43" t="str">
        <x:v>Medium</x:v>
      </x:c>
      <x:c r="J182" s="43" t="str">
        <x:v>Practice Content Review</x:v>
      </x:c>
      <x:c r="K182" s="43" t="str">
        <x:v>practice</x:v>
      </x:c>
      <x:c r="L182" s="43" t="str">
        <x:v>Practice-14</x:v>
      </x:c>
      <x:c r="M182" s="43" t="str">
        <x:v>Backlog</x:v>
      </x:c>
      <x:c r="N182" s="43" t="str">
        <x:v>PRACTICE_PHASE_10_16_EXECUTION_BLUEPRINT.md §Phase 14</x:v>
      </x:c>
    </x:row>
    <x:row r="183" ht="54" customHeight="1">
      <x:c r="A183" s="43" t="str">
        <x:v>PRA-14-F</x:v>
      </x:c>
      <x:c r="B183" s="43" t="str">
        <x:v>Yes</x:v>
      </x:c>
      <x:c r="C183" s="43" t="str">
        <x:v>Task</x:v>
      </x:c>
      <x:c r="D183" s="43" t="str">
        <x:v>Report-to-correction end-to-end gate</x:v>
      </x:c>
      <x:c r="E183" s="43" t="str">
        <x:v>PRA-14</x:v>
      </x:c>
      <x:c r="F183" s="43" t="str"/>
      <x:c r="G183" s="43" t="str"/>
      <x:c r="H183" s="43" t="str"/>
      <x:c r="I183" s="43" t="str">
        <x:v>Medium</x:v>
      </x:c>
      <x:c r="J183" s="43" t="str">
        <x:v>Practice Content Review</x:v>
      </x:c>
      <x:c r="K183" s="43" t="str">
        <x:v>practice</x:v>
      </x:c>
      <x:c r="L183" s="43" t="str">
        <x:v>Practice-14</x:v>
      </x:c>
      <x:c r="M183" s="43" t="str">
        <x:v>Backlog</x:v>
      </x:c>
      <x:c r="N183" s="43" t="str">
        <x:v>PRACTICE_PHASE_10_16_EXECUTION_BLUEPRINT.md §Phase 14</x:v>
      </x:c>
    </x:row>
    <x:row r="184" ht="54" customHeight="1">
      <x:c r="A184" s="43" t="str">
        <x:v>PRA-15A</x:v>
      </x:c>
      <x:c r="B184" s="43" t="str">
        <x:v>Yes</x:v>
      </x:c>
      <x:c r="C184" s="43" t="str">
        <x:v>Epic</x:v>
      </x:c>
      <x:c r="D184" s="43" t="str">
        <x:v>Compatibility Cleanup &amp; Automated Release Gate</x:v>
      </x:c>
      <x:c r="E184" s="43" t="str">
        <x:v>PRA-PROGRAM</x:v>
      </x:c>
      <x:c r="F184" s="43" t="str">
        <x:v>Compatibility Cleanup &amp; Automated Release Gate</x:v>
      </x:c>
      <x:c r="G184" s="43" t="str">
        <x:v>Resolve P15-COMP inventory, cleanup one controlled batch and prove database/runtime.</x:v>
      </x:c>
      <x:c r="H184" s="43" t="str">
        <x:v>Every item REMOVE/MIGRATE/RETAIN_WITH_EXPIRY/KEEP; no unexplained legacy path; fresh/upgrade/full-suite evidence.</x:v>
      </x:c>
      <x:c r="I184" s="43" t="str">
        <x:v>Highest</x:v>
      </x:c>
      <x:c r="J184" s="43" t="str">
        <x:v>Practice Persistence/Migration</x:v>
      </x:c>
      <x:c r="K184" s="43" t="str">
        <x:v>practice</x:v>
      </x:c>
      <x:c r="L184" s="43" t="str">
        <x:v>Practice-15A</x:v>
      </x:c>
      <x:c r="M184" s="43" t="str">
        <x:v>Backlog</x:v>
      </x:c>
      <x:c r="N184" s="43" t="str">
        <x:v>docs/PRACTICE_PHASE_15_COMPATIBILITY_CLEANUP_AND_SEED_UAT_INVENTORY.md</x:v>
      </x:c>
    </x:row>
    <x:row r="185" ht="54" customHeight="1">
      <x:c r="A185" s="43" t="str">
        <x:v>PRA-15A-01</x:v>
      </x:c>
      <x:c r="B185" s="43" t="str">
        <x:v>Yes</x:v>
      </x:c>
      <x:c r="C185" s="43" t="str">
        <x:v>Task</x:v>
      </x:c>
      <x:c r="D185" s="43" t="str">
        <x:v>Environment freeze, database proof and backup</x:v>
      </x:c>
      <x:c r="E185" s="43" t="str">
        <x:v>PRA-15A</x:v>
      </x:c>
      <x:c r="F185" s="43" t="str"/>
      <x:c r="G185" s="43" t="str"/>
      <x:c r="H185" s="43" t="str"/>
      <x:c r="I185" s="43" t="str">
        <x:v>Medium</x:v>
      </x:c>
      <x:c r="J185" s="43" t="str">
        <x:v>Practice Persistence/Migration</x:v>
      </x:c>
      <x:c r="K185" s="43" t="str">
        <x:v>practice</x:v>
      </x:c>
      <x:c r="L185" s="43" t="str">
        <x:v>Practice-15A</x:v>
      </x:c>
      <x:c r="M185" s="43" t="str">
        <x:v>Backlog</x:v>
      </x:c>
      <x:c r="N185" s="43" t="str">
        <x:v>docs/PRACTICE_PHASE_15_COMPATIBILITY_CLEANUP_AND_SEED_UAT_INVENTORY.md</x:v>
      </x:c>
    </x:row>
    <x:row r="186" ht="54" customHeight="1">
      <x:c r="A186" s="43" t="str">
        <x:v>PRA-15A-02</x:v>
      </x:c>
      <x:c r="B186" s="43" t="str">
        <x:v>Yes</x:v>
      </x:c>
      <x:c r="C186" s="43" t="str">
        <x:v>Task</x:v>
      </x:c>
      <x:c r="D186" s="43" t="str">
        <x:v>Resolve Writing/Speaking compatibility P15-COMP-01..04</x:v>
      </x:c>
      <x:c r="E186" s="43" t="str">
        <x:v>PRA-15A</x:v>
      </x:c>
      <x:c r="F186" s="43" t="str"/>
      <x:c r="G186" s="43" t="str"/>
      <x:c r="H186" s="43" t="str"/>
      <x:c r="I186" s="43" t="str">
        <x:v>Medium</x:v>
      </x:c>
      <x:c r="J186" s="43" t="str">
        <x:v>Practice Persistence/Migration</x:v>
      </x:c>
      <x:c r="K186" s="43" t="str">
        <x:v>practice</x:v>
      </x:c>
      <x:c r="L186" s="43" t="str">
        <x:v>Practice-15A</x:v>
      </x:c>
      <x:c r="M186" s="43" t="str">
        <x:v>Backlog</x:v>
      </x:c>
      <x:c r="N186" s="43" t="str">
        <x:v>docs/PRACTICE_PHASE_15_COMPATIBILITY_CLEANUP_AND_SEED_UAT_INVENTORY.md</x:v>
      </x:c>
    </x:row>
    <x:row r="187" ht="54" customHeight="1">
      <x:c r="A187" s="43" t="str">
        <x:v>PRA-15A-02-ST1</x:v>
      </x:c>
      <x:c r="B187" s="43" t="str">
        <x:v>Yes</x:v>
      </x:c>
      <x:c r="C187" s="43" t="str">
        <x:v>Sub-task</x:v>
      </x:c>
      <x:c r="D187" s="43" t="str">
        <x:v>Inventory retained attempts and current payloads</x:v>
      </x:c>
      <x:c r="E187" s="43" t="str">
        <x:v>PRA-15A-02</x:v>
      </x:c>
      <x:c r="F187" s="43" t="str"/>
      <x:c r="G187" s="43" t="str"/>
      <x:c r="H187" s="43" t="str"/>
      <x:c r="I187" s="43" t="str">
        <x:v>Medium</x:v>
      </x:c>
      <x:c r="J187" s="43" t="str">
        <x:v>Practice Persistence/Migration</x:v>
      </x:c>
      <x:c r="K187" s="43" t="str">
        <x:v>practice</x:v>
      </x:c>
      <x:c r="L187" s="43" t="str">
        <x:v>Practice-15A</x:v>
      </x:c>
      <x:c r="M187" s="43" t="str">
        <x:v>Backlog</x:v>
      </x:c>
      <x:c r="N187" s="43" t="str">
        <x:v>docs/PRACTICE_PHASE_15_COMPATIBILITY_CLEANUP_AND_SEED_UAT_INVENTORY.md</x:v>
      </x:c>
    </x:row>
    <x:row r="188" ht="54" customHeight="1">
      <x:c r="A188" s="43" t="str">
        <x:v>PRA-15A-02-ST2</x:v>
      </x:c>
      <x:c r="B188" s="43" t="str">
        <x:v>Yes</x:v>
      </x:c>
      <x:c r="C188" s="43" t="str">
        <x:v>Sub-task</x:v>
      </x:c>
      <x:c r="D188" s="43" t="str">
        <x:v>Remove/migrate branches and regression fixtures</x:v>
      </x:c>
      <x:c r="E188" s="43" t="str">
        <x:v>PRA-15A-02</x:v>
      </x:c>
      <x:c r="F188" s="43" t="str"/>
      <x:c r="G188" s="43" t="str"/>
      <x:c r="H188" s="43" t="str"/>
      <x:c r="I188" s="43" t="str">
        <x:v>Medium</x:v>
      </x:c>
      <x:c r="J188" s="43" t="str">
        <x:v>Practice Persistence/Migration</x:v>
      </x:c>
      <x:c r="K188" s="43" t="str">
        <x:v>practice</x:v>
      </x:c>
      <x:c r="L188" s="43" t="str">
        <x:v>Practice-15A</x:v>
      </x:c>
      <x:c r="M188" s="43" t="str">
        <x:v>Backlog</x:v>
      </x:c>
      <x:c r="N188" s="43" t="str">
        <x:v>docs/PRACTICE_PHASE_15_COMPATIBILITY_CLEANUP_AND_SEED_UAT_INVENTORY.md</x:v>
      </x:c>
    </x:row>
    <x:row r="189" ht="54" customHeight="1">
      <x:c r="A189" s="43" t="str">
        <x:v>PRA-15A-03</x:v>
      </x:c>
      <x:c r="B189" s="43" t="str">
        <x:v>Yes</x:v>
      </x:c>
      <x:c r="C189" s="43" t="str">
        <x:v>Task</x:v>
      </x:c>
      <x:c r="D189" s="43" t="str">
        <x:v>Resolve no-version and ungrouped fallbacks P15-COMP-05..06</x:v>
      </x:c>
      <x:c r="E189" s="43" t="str">
        <x:v>PRA-15A</x:v>
      </x:c>
      <x:c r="F189" s="43" t="str"/>
      <x:c r="G189" s="43" t="str"/>
      <x:c r="H189" s="43" t="str"/>
      <x:c r="I189" s="43" t="str">
        <x:v>Medium</x:v>
      </x:c>
      <x:c r="J189" s="43" t="str">
        <x:v>Practice Persistence/Migration</x:v>
      </x:c>
      <x:c r="K189" s="43" t="str">
        <x:v>practice</x:v>
      </x:c>
      <x:c r="L189" s="43" t="str">
        <x:v>Practice-15A</x:v>
      </x:c>
      <x:c r="M189" s="43" t="str">
        <x:v>Backlog</x:v>
      </x:c>
      <x:c r="N189" s="43" t="str">
        <x:v>docs/PRACTICE_PHASE_15_COMPATIBILITY_CLEANUP_AND_SEED_UAT_INVENTORY.md</x:v>
      </x:c>
    </x:row>
    <x:row r="190" ht="54" customHeight="1">
      <x:c r="A190" s="43" t="str">
        <x:v>PRA-15A-04</x:v>
      </x:c>
      <x:c r="B190" s="43" t="str">
        <x:v>Yes</x:v>
      </x:c>
      <x:c r="C190" s="43" t="str">
        <x:v>Task</x:v>
      </x:c>
      <x:c r="D190" s="43" t="str">
        <x:v>Resolve route/type/import aliases P15-COMP-07..09</x:v>
      </x:c>
      <x:c r="E190" s="43" t="str">
        <x:v>PRA-15A</x:v>
      </x:c>
      <x:c r="F190" s="43" t="str"/>
      <x:c r="G190" s="43" t="str"/>
      <x:c r="H190" s="43" t="str"/>
      <x:c r="I190" s="43" t="str">
        <x:v>Medium</x:v>
      </x:c>
      <x:c r="J190" s="43" t="str">
        <x:v>Practice Persistence/Migration</x:v>
      </x:c>
      <x:c r="K190" s="43" t="str">
        <x:v>practice</x:v>
      </x:c>
      <x:c r="L190" s="43" t="str">
        <x:v>Practice-15A</x:v>
      </x:c>
      <x:c r="M190" s="43" t="str">
        <x:v>Backlog</x:v>
      </x:c>
      <x:c r="N190" s="43" t="str">
        <x:v>docs/PRACTICE_PHASE_15_COMPATIBILITY_CLEANUP_AND_SEED_UAT_INVENTORY.md</x:v>
      </x:c>
    </x:row>
    <x:row r="191" ht="54" customHeight="1">
      <x:c r="A191" s="43" t="str">
        <x:v>PRA-15A-05</x:v>
      </x:c>
      <x:c r="B191" s="43" t="str">
        <x:v>Yes</x:v>
      </x:c>
      <x:c r="C191" s="43" t="str">
        <x:v>Task</x:v>
      </x:c>
      <x:c r="D191" s="43" t="str">
        <x:v>Replace old detail and dead asset P15-COMP-10..11</x:v>
      </x:c>
      <x:c r="E191" s="43" t="str">
        <x:v>PRA-15A</x:v>
      </x:c>
      <x:c r="F191" s="43" t="str"/>
      <x:c r="G191" s="43" t="str"/>
      <x:c r="H191" s="43" t="str"/>
      <x:c r="I191" s="43" t="str">
        <x:v>Medium</x:v>
      </x:c>
      <x:c r="J191" s="43" t="str">
        <x:v>Practice Persistence/Migration</x:v>
      </x:c>
      <x:c r="K191" s="43" t="str">
        <x:v>practice</x:v>
      </x:c>
      <x:c r="L191" s="43" t="str">
        <x:v>Practice-15A</x:v>
      </x:c>
      <x:c r="M191" s="43" t="str">
        <x:v>Backlog</x:v>
      </x:c>
      <x:c r="N191" s="43" t="str">
        <x:v>docs/PRACTICE_PHASE_15_COMPATIBILITY_CLEANUP_AND_SEED_UAT_INVENTORY.md</x:v>
      </x:c>
    </x:row>
    <x:row r="192" ht="54" customHeight="1">
      <x:c r="A192" s="43" t="str">
        <x:v>PRA-15A-06</x:v>
      </x:c>
      <x:c r="B192" s="43" t="str">
        <x:v>Yes</x:v>
      </x:c>
      <x:c r="C192" s="43" t="str">
        <x:v>Task</x:v>
      </x:c>
      <x:c r="D192" s="43" t="str">
        <x:v>Resolve tests, migration history, docs and fixtures P15-COMP-12..15</x:v>
      </x:c>
      <x:c r="E192" s="43" t="str">
        <x:v>PRA-15A</x:v>
      </x:c>
      <x:c r="F192" s="43" t="str"/>
      <x:c r="G192" s="43" t="str"/>
      <x:c r="H192" s="43" t="str"/>
      <x:c r="I192" s="43" t="str">
        <x:v>Medium</x:v>
      </x:c>
      <x:c r="J192" s="43" t="str">
        <x:v>Practice Persistence/Migration</x:v>
      </x:c>
      <x:c r="K192" s="43" t="str">
        <x:v>practice</x:v>
      </x:c>
      <x:c r="L192" s="43" t="str">
        <x:v>Practice-15A</x:v>
      </x:c>
      <x:c r="M192" s="43" t="str">
        <x:v>Backlog</x:v>
      </x:c>
      <x:c r="N192" s="43" t="str">
        <x:v>docs/PRACTICE_PHASE_15_COMPATIBILITY_CLEANUP_AND_SEED_UAT_INVENTORY.md</x:v>
      </x:c>
    </x:row>
    <x:row r="193" ht="54" customHeight="1">
      <x:c r="A193" s="43" t="str">
        <x:v>PRA-15A-07</x:v>
      </x:c>
      <x:c r="B193" s="43" t="str">
        <x:v>Yes</x:v>
      </x:c>
      <x:c r="C193" s="43" t="str">
        <x:v>Task</x:v>
      </x:c>
      <x:c r="D193" s="43" t="str">
        <x:v>Controlled cleanup batch and static no-legacy audit</x:v>
      </x:c>
      <x:c r="E193" s="43" t="str">
        <x:v>PRA-15A</x:v>
      </x:c>
      <x:c r="F193" s="43" t="str"/>
      <x:c r="G193" s="43" t="str"/>
      <x:c r="H193" s="43" t="str"/>
      <x:c r="I193" s="43" t="str">
        <x:v>Medium</x:v>
      </x:c>
      <x:c r="J193" s="43" t="str">
        <x:v>Practice Persistence/Migration</x:v>
      </x:c>
      <x:c r="K193" s="43" t="str">
        <x:v>practice</x:v>
      </x:c>
      <x:c r="L193" s="43" t="str">
        <x:v>Practice-15A</x:v>
      </x:c>
      <x:c r="M193" s="43" t="str">
        <x:v>Backlog</x:v>
      </x:c>
      <x:c r="N193" s="43" t="str">
        <x:v>docs/PRACTICE_PHASE_15_COMPATIBILITY_CLEANUP_AND_SEED_UAT_INVENTORY.md</x:v>
      </x:c>
    </x:row>
    <x:row r="194" ht="54" customHeight="1">
      <x:c r="A194" s="43" t="str">
        <x:v>PRA-15A-08</x:v>
      </x:c>
      <x:c r="B194" s="43" t="str">
        <x:v>Yes</x:v>
      </x:c>
      <x:c r="C194" s="43" t="str">
        <x:v>Task</x:v>
      </x:c>
      <x:c r="D194" s="43" t="str">
        <x:v>Fresh schema and representative upgrade rehearsal</x:v>
      </x:c>
      <x:c r="E194" s="43" t="str">
        <x:v>PRA-15A</x:v>
      </x:c>
      <x:c r="F194" s="43" t="str"/>
      <x:c r="G194" s="43" t="str"/>
      <x:c r="H194" s="43" t="str"/>
      <x:c r="I194" s="43" t="str">
        <x:v>Medium</x:v>
      </x:c>
      <x:c r="J194" s="43" t="str">
        <x:v>Practice Persistence/Migration</x:v>
      </x:c>
      <x:c r="K194" s="43" t="str">
        <x:v>practice</x:v>
      </x:c>
      <x:c r="L194" s="43" t="str">
        <x:v>Practice-15A</x:v>
      </x:c>
      <x:c r="M194" s="43" t="str">
        <x:v>Backlog</x:v>
      </x:c>
      <x:c r="N194" s="43" t="str">
        <x:v>docs/PRACTICE_PHASE_15_COMPATIBILITY_CLEANUP_AND_SEED_UAT_INVENTORY.md</x:v>
      </x:c>
    </x:row>
    <x:row r="195" ht="54" customHeight="1">
      <x:c r="A195" s="43" t="str">
        <x:v>PRA-15A-09</x:v>
      </x:c>
      <x:c r="B195" s="43" t="str">
        <x:v>Yes</x:v>
      </x:c>
      <x:c r="C195" s="43" t="str">
        <x:v>Task</x:v>
      </x:c>
      <x:c r="D195" s="43" t="str">
        <x:v>Focused, integration and full-suite automated release gate</x:v>
      </x:c>
      <x:c r="E195" s="43" t="str">
        <x:v>PRA-15A</x:v>
      </x:c>
      <x:c r="F195" s="43" t="str"/>
      <x:c r="G195" s="43" t="str"/>
      <x:c r="H195" s="43" t="str"/>
      <x:c r="I195" s="43" t="str">
        <x:v>Medium</x:v>
      </x:c>
      <x:c r="J195" s="43" t="str">
        <x:v>Practice Persistence/Migration</x:v>
      </x:c>
      <x:c r="K195" s="43" t="str">
        <x:v>practice</x:v>
      </x:c>
      <x:c r="L195" s="43" t="str">
        <x:v>Practice-15A</x:v>
      </x:c>
      <x:c r="M195" s="43" t="str">
        <x:v>Backlog</x:v>
      </x:c>
      <x:c r="N195" s="43" t="str">
        <x:v>docs/PRACTICE_PHASE_15_COMPATIBILITY_CLEANUP_AND_SEED_UAT_INVENTORY.md</x:v>
      </x:c>
    </x:row>
    <x:row r="196" ht="54" customHeight="1">
      <x:c r="A196" s="43" t="str">
        <x:v>PRA-15B</x:v>
      </x:c>
      <x:c r="B196" s="43" t="str">
        <x:v>Yes</x:v>
      </x:c>
      <x:c r="C196" s="43" t="str">
        <x:v>Epic</x:v>
      </x:c>
      <x:c r="D196" s="43" t="str">
        <x:v>Premium Canonical Seed &amp; Manual UAT</x:v>
      </x:c>
      <x:c r="E196" s="43" t="str">
        <x:v>PRA-PROGRAM</x:v>
      </x:c>
      <x:c r="F196" s="43" t="str">
        <x:v>Premium Canonical Seed &amp; Manual UAT</x:v>
      </x:c>
      <x:c r="G196" s="43" t="str">
        <x:v>Premium Canonical Seed &amp; Manual UAT</x:v>
      </x:c>
      <x:c r="H196" s="43" t="str">
        <x:v>Deterministic Korean content, complete immutable locks and browser/device role journeys.</x:v>
      </x:c>
      <x:c r="I196" s="43" t="str">
        <x:v>Medium</x:v>
      </x:c>
      <x:c r="J196" s="43" t="str">
        <x:v>Practice UAT</x:v>
      </x:c>
      <x:c r="K196" s="43" t="str">
        <x:v>practice</x:v>
      </x:c>
      <x:c r="L196" s="43" t="str">
        <x:v>Practice-15B</x:v>
      </x:c>
      <x:c r="M196" s="43" t="str">
        <x:v>Backlog</x:v>
      </x:c>
      <x:c r="N196" s="43" t="str">
        <x:v>PRACTICE_PHASE_10_16_EXECUTION_BLUEPRINT.md §15B</x:v>
      </x:c>
    </x:row>
    <x:row r="197" ht="54" customHeight="1">
      <x:c r="A197" s="43" t="str">
        <x:v>PRA-15B-T01</x:v>
      </x:c>
      <x:c r="B197" s="43" t="str">
        <x:v>Yes</x:v>
      </x:c>
      <x:c r="C197" s="43" t="str">
        <x:v>Task</x:v>
      </x:c>
      <x:c r="D197" s="43" t="str">
        <x:v>Plan and lock Premium Canonical Seed &amp; Manual UAT scope</x:v>
      </x:c>
      <x:c r="E197" s="43" t="str">
        <x:v>PRA-15B</x:v>
      </x:c>
      <x:c r="F197" s="43" t="str"/>
      <x:c r="G197" s="43" t="str"/>
      <x:c r="H197" s="43" t="str">
        <x:v>Owner, environment, evidence and rollback defined.</x:v>
      </x:c>
      <x:c r="I197" s="43" t="str">
        <x:v>Medium</x:v>
      </x:c>
      <x:c r="J197" s="43" t="str">
        <x:v>Practice UAT</x:v>
      </x:c>
      <x:c r="K197" s="43" t="str">
        <x:v>practice</x:v>
      </x:c>
      <x:c r="L197" s="43" t="str">
        <x:v>Practice-15B</x:v>
      </x:c>
      <x:c r="M197" s="43" t="str">
        <x:v>Backlog</x:v>
      </x:c>
      <x:c r="N197" s="43" t="str">
        <x:v>PRACTICE_PHASE_10_16_EXECUTION_BLUEPRINT.md §15B</x:v>
      </x:c>
    </x:row>
    <x:row r="198" ht="54" customHeight="1">
      <x:c r="A198" s="43" t="str">
        <x:v>PRA-15B-T02</x:v>
      </x:c>
      <x:c r="B198" s="43" t="str">
        <x:v>Yes</x:v>
      </x:c>
      <x:c r="C198" s="43" t="str">
        <x:v>Task</x:v>
      </x:c>
      <x:c r="D198" s="43" t="str">
        <x:v>Execute Premium Canonical Seed &amp; Manual UAT gate</x:v>
      </x:c>
      <x:c r="E198" s="43" t="str">
        <x:v>PRA-15B</x:v>
      </x:c>
      <x:c r="F198" s="43" t="str"/>
      <x:c r="G198" s="43" t="str"/>
      <x:c r="H198" s="43" t="str">
        <x:v>Deterministic Korean content, complete immutable locks and browser/device role journeys.</x:v>
      </x:c>
      <x:c r="I198" s="43" t="str">
        <x:v>Medium</x:v>
      </x:c>
      <x:c r="J198" s="43" t="str">
        <x:v>Practice UAT</x:v>
      </x:c>
      <x:c r="K198" s="43" t="str">
        <x:v>practice</x:v>
      </x:c>
      <x:c r="L198" s="43" t="str">
        <x:v>Practice-15B</x:v>
      </x:c>
      <x:c r="M198" s="43" t="str">
        <x:v>Backlog</x:v>
      </x:c>
      <x:c r="N198" s="43" t="str">
        <x:v>PRACTICE_PHASE_10_16_EXECUTION_BLUEPRINT.md §15B</x:v>
      </x:c>
    </x:row>
    <x:row r="199" ht="54" customHeight="1">
      <x:c r="A199" s="43" t="str">
        <x:v>PRA-15B-T03</x:v>
      </x:c>
      <x:c r="B199" s="43" t="str">
        <x:v>Yes</x:v>
      </x:c>
      <x:c r="C199" s="43" t="str">
        <x:v>Task</x:v>
      </x:c>
      <x:c r="D199" s="43" t="str">
        <x:v>Record Premium Canonical Seed &amp; Manual UAT evidence and verdict</x:v>
      </x:c>
      <x:c r="E199" s="43" t="str">
        <x:v>PRA-15B</x:v>
      </x:c>
      <x:c r="F199" s="43" t="str"/>
      <x:c r="G199" s="43" t="str"/>
      <x:c r="H199" s="43" t="str">
        <x:v>Evidence linked; debt/blocker explicitly routed.</x:v>
      </x:c>
      <x:c r="I199" s="43" t="str">
        <x:v>Medium</x:v>
      </x:c>
      <x:c r="J199" s="43" t="str">
        <x:v>Practice UAT</x:v>
      </x:c>
      <x:c r="K199" s="43" t="str">
        <x:v>practice</x:v>
      </x:c>
      <x:c r="L199" s="43" t="str">
        <x:v>Practice-15B</x:v>
      </x:c>
      <x:c r="M199" s="43" t="str">
        <x:v>Backlog</x:v>
      </x:c>
      <x:c r="N199" s="43" t="str">
        <x:v>PRACTICE_PHASE_10_16_EXECUTION_BLUEPRINT.md §15B</x:v>
      </x:c>
    </x:row>
    <x:row r="200" ht="54" customHeight="1">
      <x:c r="A200" s="43" t="str">
        <x:v>PRA-15C</x:v>
      </x:c>
      <x:c r="B200" s="43" t="str">
        <x:v>Yes</x:v>
      </x:c>
      <x:c r="C200" s="43" t="str">
        <x:v>Epic</x:v>
      </x:c>
      <x:c r="D200" s="43" t="str">
        <x:v>Performance &amp; Scale</x:v>
      </x:c>
      <x:c r="E200" s="43" t="str">
        <x:v>PRA-PROGRAM</x:v>
      </x:c>
      <x:c r="F200" s="43" t="str">
        <x:v>Performance &amp; Scale</x:v>
      </x:c>
      <x:c r="G200" s="43" t="str">
        <x:v>Performance &amp; Scale</x:v>
      </x:c>
      <x:c r="H200" s="43" t="str">
        <x:v>Catalog/history/concurrent submit/explanation burst/provider timeout/cleanup load evidence.</x:v>
      </x:c>
      <x:c r="I200" s="43" t="str">
        <x:v>Medium</x:v>
      </x:c>
      <x:c r="J200" s="43" t="str">
        <x:v>Practice Performance</x:v>
      </x:c>
      <x:c r="K200" s="43" t="str">
        <x:v>practice</x:v>
      </x:c>
      <x:c r="L200" s="43" t="str">
        <x:v>Practice-15C</x:v>
      </x:c>
      <x:c r="M200" s="43" t="str">
        <x:v>Backlog</x:v>
      </x:c>
      <x:c r="N200" s="43" t="str">
        <x:v>PRACTICE_PHASE_10_16_EXECUTION_BLUEPRINT.md §15C</x:v>
      </x:c>
    </x:row>
    <x:row r="201" ht="54" customHeight="1">
      <x:c r="A201" s="43" t="str">
        <x:v>PRA-15C-T01</x:v>
      </x:c>
      <x:c r="B201" s="43" t="str">
        <x:v>Yes</x:v>
      </x:c>
      <x:c r="C201" s="43" t="str">
        <x:v>Task</x:v>
      </x:c>
      <x:c r="D201" s="43" t="str">
        <x:v>Plan and lock Performance &amp; Scale scope</x:v>
      </x:c>
      <x:c r="E201" s="43" t="str">
        <x:v>PRA-15C</x:v>
      </x:c>
      <x:c r="F201" s="43" t="str"/>
      <x:c r="G201" s="43" t="str"/>
      <x:c r="H201" s="43" t="str">
        <x:v>Owner, environment, evidence and rollback defined.</x:v>
      </x:c>
      <x:c r="I201" s="43" t="str">
        <x:v>Medium</x:v>
      </x:c>
      <x:c r="J201" s="43" t="str">
        <x:v>Practice Performance</x:v>
      </x:c>
      <x:c r="K201" s="43" t="str">
        <x:v>practice</x:v>
      </x:c>
      <x:c r="L201" s="43" t="str">
        <x:v>Practice-15C</x:v>
      </x:c>
      <x:c r="M201" s="43" t="str">
        <x:v>Backlog</x:v>
      </x:c>
      <x:c r="N201" s="43" t="str">
        <x:v>PRACTICE_PHASE_10_16_EXECUTION_BLUEPRINT.md §15C</x:v>
      </x:c>
    </x:row>
    <x:row r="202" ht="54" customHeight="1">
      <x:c r="A202" s="43" t="str">
        <x:v>PRA-15C-T02</x:v>
      </x:c>
      <x:c r="B202" s="43" t="str">
        <x:v>Yes</x:v>
      </x:c>
      <x:c r="C202" s="43" t="str">
        <x:v>Task</x:v>
      </x:c>
      <x:c r="D202" s="43" t="str">
        <x:v>Execute Performance &amp; Scale gate</x:v>
      </x:c>
      <x:c r="E202" s="43" t="str">
        <x:v>PRA-15C</x:v>
      </x:c>
      <x:c r="F202" s="43" t="str"/>
      <x:c r="G202" s="43" t="str"/>
      <x:c r="H202" s="43" t="str">
        <x:v>Catalog/history/concurrent submit/explanation burst/provider timeout/cleanup load evidence.</x:v>
      </x:c>
      <x:c r="I202" s="43" t="str">
        <x:v>Medium</x:v>
      </x:c>
      <x:c r="J202" s="43" t="str">
        <x:v>Practice Performance</x:v>
      </x:c>
      <x:c r="K202" s="43" t="str">
        <x:v>practice</x:v>
      </x:c>
      <x:c r="L202" s="43" t="str">
        <x:v>Practice-15C</x:v>
      </x:c>
      <x:c r="M202" s="43" t="str">
        <x:v>Backlog</x:v>
      </x:c>
      <x:c r="N202" s="43" t="str">
        <x:v>PRACTICE_PHASE_10_16_EXECUTION_BLUEPRINT.md §15C</x:v>
      </x:c>
    </x:row>
    <x:row r="203" ht="54" customHeight="1">
      <x:c r="A203" s="43" t="str">
        <x:v>PRA-15C-T03</x:v>
      </x:c>
      <x:c r="B203" s="43" t="str">
        <x:v>Yes</x:v>
      </x:c>
      <x:c r="C203" s="43" t="str">
        <x:v>Task</x:v>
      </x:c>
      <x:c r="D203" s="43" t="str">
        <x:v>Record Performance &amp; Scale evidence and verdict</x:v>
      </x:c>
      <x:c r="E203" s="43" t="str">
        <x:v>PRA-15C</x:v>
      </x:c>
      <x:c r="F203" s="43" t="str"/>
      <x:c r="G203" s="43" t="str"/>
      <x:c r="H203" s="43" t="str">
        <x:v>Evidence linked; debt/blocker explicitly routed.</x:v>
      </x:c>
      <x:c r="I203" s="43" t="str">
        <x:v>Medium</x:v>
      </x:c>
      <x:c r="J203" s="43" t="str">
        <x:v>Practice Performance</x:v>
      </x:c>
      <x:c r="K203" s="43" t="str">
        <x:v>practice</x:v>
      </x:c>
      <x:c r="L203" s="43" t="str">
        <x:v>Practice-15C</x:v>
      </x:c>
      <x:c r="M203" s="43" t="str">
        <x:v>Backlog</x:v>
      </x:c>
      <x:c r="N203" s="43" t="str">
        <x:v>PRACTICE_PHASE_10_16_EXECUTION_BLUEPRINT.md §15C</x:v>
      </x:c>
    </x:row>
    <x:row r="204" ht="54" customHeight="1">
      <x:c r="A204" s="43" t="str">
        <x:v>PRA-15D</x:v>
      </x:c>
      <x:c r="B204" s="43" t="str">
        <x:v>Yes</x:v>
      </x:c>
      <x:c r="C204" s="43" t="str">
        <x:v>Epic</x:v>
      </x:c>
      <x:c r="D204" s="43" t="str">
        <x:v>AI Calibration</x:v>
      </x:c>
      <x:c r="E204" s="43" t="str">
        <x:v>PRA-PROGRAM</x:v>
      </x:c>
      <x:c r="F204" s="43" t="str">
        <x:v>AI Calibration</x:v>
      </x:c>
      <x:c r="G204" s="43" t="str">
        <x:v>AI Calibration</x:v>
      </x:c>
      <x:c r="H204" s="43" t="str">
        <x:v>Teacher-reviewed Writing/Speaking fixtures and R/L explanation factuality.</x:v>
      </x:c>
      <x:c r="I204" s="43" t="str">
        <x:v>Medium</x:v>
      </x:c>
      <x:c r="J204" s="43" t="str">
        <x:v>Practice AI</x:v>
      </x:c>
      <x:c r="K204" s="43" t="str">
        <x:v>practice</x:v>
      </x:c>
      <x:c r="L204" s="43" t="str">
        <x:v>Practice-15D</x:v>
      </x:c>
      <x:c r="M204" s="43" t="str">
        <x:v>Backlog</x:v>
      </x:c>
      <x:c r="N204" s="43" t="str">
        <x:v>PRACTICE_PHASE_10_16_EXECUTION_BLUEPRINT.md §15D</x:v>
      </x:c>
    </x:row>
    <x:row r="205" ht="54" customHeight="1">
      <x:c r="A205" s="43" t="str">
        <x:v>PRA-15D-T01</x:v>
      </x:c>
      <x:c r="B205" s="43" t="str">
        <x:v>Yes</x:v>
      </x:c>
      <x:c r="C205" s="43" t="str">
        <x:v>Task</x:v>
      </x:c>
      <x:c r="D205" s="43" t="str">
        <x:v>Plan and lock AI Calibration scope</x:v>
      </x:c>
      <x:c r="E205" s="43" t="str">
        <x:v>PRA-15D</x:v>
      </x:c>
      <x:c r="F205" s="43" t="str"/>
      <x:c r="G205" s="43" t="str"/>
      <x:c r="H205" s="43" t="str">
        <x:v>Owner, environment, evidence and rollback defined.</x:v>
      </x:c>
      <x:c r="I205" s="43" t="str">
        <x:v>Medium</x:v>
      </x:c>
      <x:c r="J205" s="43" t="str">
        <x:v>Practice AI</x:v>
      </x:c>
      <x:c r="K205" s="43" t="str">
        <x:v>practice</x:v>
      </x:c>
      <x:c r="L205" s="43" t="str">
        <x:v>Practice-15D</x:v>
      </x:c>
      <x:c r="M205" s="43" t="str">
        <x:v>Backlog</x:v>
      </x:c>
      <x:c r="N205" s="43" t="str">
        <x:v>PRACTICE_PHASE_10_16_EXECUTION_BLUEPRINT.md §15D</x:v>
      </x:c>
    </x:row>
    <x:row r="206" ht="54" customHeight="1">
      <x:c r="A206" s="43" t="str">
        <x:v>PRA-15D-T02</x:v>
      </x:c>
      <x:c r="B206" s="43" t="str">
        <x:v>Yes</x:v>
      </x:c>
      <x:c r="C206" s="43" t="str">
        <x:v>Task</x:v>
      </x:c>
      <x:c r="D206" s="43" t="str">
        <x:v>Execute AI Calibration gate</x:v>
      </x:c>
      <x:c r="E206" s="43" t="str">
        <x:v>PRA-15D</x:v>
      </x:c>
      <x:c r="F206" s="43" t="str"/>
      <x:c r="G206" s="43" t="str"/>
      <x:c r="H206" s="43" t="str">
        <x:v>Teacher-reviewed Writing/Speaking fixtures and R/L explanation factuality.</x:v>
      </x:c>
      <x:c r="I206" s="43" t="str">
        <x:v>Medium</x:v>
      </x:c>
      <x:c r="J206" s="43" t="str">
        <x:v>Practice AI</x:v>
      </x:c>
      <x:c r="K206" s="43" t="str">
        <x:v>practice</x:v>
      </x:c>
      <x:c r="L206" s="43" t="str">
        <x:v>Practice-15D</x:v>
      </x:c>
      <x:c r="M206" s="43" t="str">
        <x:v>Backlog</x:v>
      </x:c>
      <x:c r="N206" s="43" t="str">
        <x:v>PRACTICE_PHASE_10_16_EXECUTION_BLUEPRINT.md §15D</x:v>
      </x:c>
    </x:row>
    <x:row r="207" ht="54" customHeight="1">
      <x:c r="A207" s="43" t="str">
        <x:v>PRA-15D-T03</x:v>
      </x:c>
      <x:c r="B207" s="43" t="str">
        <x:v>Yes</x:v>
      </x:c>
      <x:c r="C207" s="43" t="str">
        <x:v>Task</x:v>
      </x:c>
      <x:c r="D207" s="43" t="str">
        <x:v>Record AI Calibration evidence and verdict</x:v>
      </x:c>
      <x:c r="E207" s="43" t="str">
        <x:v>PRA-15D</x:v>
      </x:c>
      <x:c r="F207" s="43" t="str"/>
      <x:c r="G207" s="43" t="str"/>
      <x:c r="H207" s="43" t="str">
        <x:v>Evidence linked; debt/blocker explicitly routed.</x:v>
      </x:c>
      <x:c r="I207" s="43" t="str">
        <x:v>Medium</x:v>
      </x:c>
      <x:c r="J207" s="43" t="str">
        <x:v>Practice AI</x:v>
      </x:c>
      <x:c r="K207" s="43" t="str">
        <x:v>practice</x:v>
      </x:c>
      <x:c r="L207" s="43" t="str">
        <x:v>Practice-15D</x:v>
      </x:c>
      <x:c r="M207" s="43" t="str">
        <x:v>Backlog</x:v>
      </x:c>
      <x:c r="N207" s="43" t="str">
        <x:v>PRACTICE_PHASE_10_16_EXECUTION_BLUEPRINT.md §15D</x:v>
      </x:c>
    </x:row>
    <x:row r="208" ht="54" customHeight="1">
      <x:c r="A208" s="43" t="str">
        <x:v>PRA-15E</x:v>
      </x:c>
      <x:c r="B208" s="43" t="str">
        <x:v>Yes</x:v>
      </x:c>
      <x:c r="C208" s="43" t="str">
        <x:v>Epic</x:v>
      </x:c>
      <x:c r="D208" s="43" t="str">
        <x:v>Production Storage &amp; Privacy</x:v>
      </x:c>
      <x:c r="E208" s="43" t="str">
        <x:v>PRA-PROGRAM</x:v>
      </x:c>
      <x:c r="F208" s="43" t="str">
        <x:v>Production Storage &amp; Privacy</x:v>
      </x:c>
      <x:c r="G208" s="43" t="str">
        <x:v>Production Storage &amp; Privacy</x:v>
      </x:c>
      <x:c r="H208" s="43" t="str">
        <x:v>R2, migration, consent, retention, backup/restore and multi-node cleanup.</x:v>
      </x:c>
      <x:c r="I208" s="43" t="str">
        <x:v>Medium</x:v>
      </x:c>
      <x:c r="J208" s="43" t="str">
        <x:v>Practice Media/Storage</x:v>
      </x:c>
      <x:c r="K208" s="43" t="str">
        <x:v>practice</x:v>
      </x:c>
      <x:c r="L208" s="43" t="str">
        <x:v>Practice-15E</x:v>
      </x:c>
      <x:c r="M208" s="43" t="str">
        <x:v>Backlog</x:v>
      </x:c>
      <x:c r="N208" s="43" t="str">
        <x:v>PRACTICE_PHASE_10_16_EXECUTION_BLUEPRINT.md §15E</x:v>
      </x:c>
    </x:row>
    <x:row r="209" ht="54" customHeight="1">
      <x:c r="A209" s="43" t="str">
        <x:v>PRA-15E-T01</x:v>
      </x:c>
      <x:c r="B209" s="43" t="str">
        <x:v>Yes</x:v>
      </x:c>
      <x:c r="C209" s="43" t="str">
        <x:v>Task</x:v>
      </x:c>
      <x:c r="D209" s="43" t="str">
        <x:v>Plan and lock Production Storage &amp; Privacy scope</x:v>
      </x:c>
      <x:c r="E209" s="43" t="str">
        <x:v>PRA-15E</x:v>
      </x:c>
      <x:c r="F209" s="43" t="str"/>
      <x:c r="G209" s="43" t="str"/>
      <x:c r="H209" s="43" t="str">
        <x:v>Owner, environment, evidence and rollback defined.</x:v>
      </x:c>
      <x:c r="I209" s="43" t="str">
        <x:v>Medium</x:v>
      </x:c>
      <x:c r="J209" s="43" t="str">
        <x:v>Practice Media/Storage</x:v>
      </x:c>
      <x:c r="K209" s="43" t="str">
        <x:v>practice</x:v>
      </x:c>
      <x:c r="L209" s="43" t="str">
        <x:v>Practice-15E</x:v>
      </x:c>
      <x:c r="M209" s="43" t="str">
        <x:v>Backlog</x:v>
      </x:c>
      <x:c r="N209" s="43" t="str">
        <x:v>PRACTICE_PHASE_10_16_EXECUTION_BLUEPRINT.md §15E</x:v>
      </x:c>
    </x:row>
    <x:row r="210" ht="54" customHeight="1">
      <x:c r="A210" s="43" t="str">
        <x:v>PRA-15E-T02</x:v>
      </x:c>
      <x:c r="B210" s="43" t="str">
        <x:v>Yes</x:v>
      </x:c>
      <x:c r="C210" s="43" t="str">
        <x:v>Task</x:v>
      </x:c>
      <x:c r="D210" s="43" t="str">
        <x:v>Execute Production Storage &amp; Privacy gate</x:v>
      </x:c>
      <x:c r="E210" s="43" t="str">
        <x:v>PRA-15E</x:v>
      </x:c>
      <x:c r="F210" s="43" t="str"/>
      <x:c r="G210" s="43" t="str"/>
      <x:c r="H210" s="43" t="str">
        <x:v>R2, migration, consent, retention, backup/restore and multi-node cleanup.</x:v>
      </x:c>
      <x:c r="I210" s="43" t="str">
        <x:v>Medium</x:v>
      </x:c>
      <x:c r="J210" s="43" t="str">
        <x:v>Practice Media/Storage</x:v>
      </x:c>
      <x:c r="K210" s="43" t="str">
        <x:v>practice</x:v>
      </x:c>
      <x:c r="L210" s="43" t="str">
        <x:v>Practice-15E</x:v>
      </x:c>
      <x:c r="M210" s="43" t="str">
        <x:v>Backlog</x:v>
      </x:c>
      <x:c r="N210" s="43" t="str">
        <x:v>PRACTICE_PHASE_10_16_EXECUTION_BLUEPRINT.md §15E</x:v>
      </x:c>
    </x:row>
    <x:row r="211" ht="54" customHeight="1">
      <x:c r="A211" s="43" t="str">
        <x:v>PRA-15E-T03</x:v>
      </x:c>
      <x:c r="B211" s="43" t="str">
        <x:v>Yes</x:v>
      </x:c>
      <x:c r="C211" s="43" t="str">
        <x:v>Task</x:v>
      </x:c>
      <x:c r="D211" s="43" t="str">
        <x:v>Record Production Storage &amp; Privacy evidence and verdict</x:v>
      </x:c>
      <x:c r="E211" s="43" t="str">
        <x:v>PRA-15E</x:v>
      </x:c>
      <x:c r="F211" s="43" t="str"/>
      <x:c r="G211" s="43" t="str"/>
      <x:c r="H211" s="43" t="str">
        <x:v>Evidence linked; debt/blocker explicitly routed.</x:v>
      </x:c>
      <x:c r="I211" s="43" t="str">
        <x:v>Medium</x:v>
      </x:c>
      <x:c r="J211" s="43" t="str">
        <x:v>Practice Media/Storage</x:v>
      </x:c>
      <x:c r="K211" s="43" t="str">
        <x:v>practice</x:v>
      </x:c>
      <x:c r="L211" s="43" t="str">
        <x:v>Practice-15E</x:v>
      </x:c>
      <x:c r="M211" s="43" t="str">
        <x:v>Backlog</x:v>
      </x:c>
      <x:c r="N211" s="43" t="str">
        <x:v>PRACTICE_PHASE_10_16_EXECUTION_BLUEPRINT.md §15E</x:v>
      </x:c>
    </x:row>
    <x:row r="212" ht="54" customHeight="1">
      <x:c r="A212" s="43" t="str">
        <x:v>PRA-15F</x:v>
      </x:c>
      <x:c r="B212" s="43" t="str">
        <x:v>Yes</x:v>
      </x:c>
      <x:c r="C212" s="43" t="str">
        <x:v>Epic</x:v>
      </x:c>
      <x:c r="D212" s="43" t="str">
        <x:v>Operations</x:v>
      </x:c>
      <x:c r="E212" s="43" t="str">
        <x:v>PRA-PROGRAM</x:v>
      </x:c>
      <x:c r="F212" s="43" t="str">
        <x:v>Operations</x:v>
      </x:c>
      <x:c r="G212" s="43" t="str">
        <x:v>Operations</x:v>
      </x:c>
      <x:c r="H212" s="43" t="str">
        <x:v>Outage/rate-limit/cost runbooks, metrics, feature flags and production-safe configuration.</x:v>
      </x:c>
      <x:c r="I212" s="43" t="str">
        <x:v>Medium</x:v>
      </x:c>
      <x:c r="J212" s="43" t="str">
        <x:v>Practice Worker/Operations</x:v>
      </x:c>
      <x:c r="K212" s="43" t="str">
        <x:v>practice</x:v>
      </x:c>
      <x:c r="L212" s="43" t="str">
        <x:v>Practice-15F</x:v>
      </x:c>
      <x:c r="M212" s="43" t="str">
        <x:v>Backlog</x:v>
      </x:c>
      <x:c r="N212" s="43" t="str">
        <x:v>PRACTICE_PHASE_10_16_EXECUTION_BLUEPRINT.md §15F</x:v>
      </x:c>
    </x:row>
    <x:row r="213" ht="54" customHeight="1">
      <x:c r="A213" s="43" t="str">
        <x:v>PRA-15F-T01</x:v>
      </x:c>
      <x:c r="B213" s="43" t="str">
        <x:v>Yes</x:v>
      </x:c>
      <x:c r="C213" s="43" t="str">
        <x:v>Task</x:v>
      </x:c>
      <x:c r="D213" s="43" t="str">
        <x:v>Plan and lock Operations scope</x:v>
      </x:c>
      <x:c r="E213" s="43" t="str">
        <x:v>PRA-15F</x:v>
      </x:c>
      <x:c r="F213" s="43" t="str"/>
      <x:c r="G213" s="43" t="str"/>
      <x:c r="H213" s="43" t="str">
        <x:v>Owner, environment, evidence and rollback defined.</x:v>
      </x:c>
      <x:c r="I213" s="43" t="str">
        <x:v>Medium</x:v>
      </x:c>
      <x:c r="J213" s="43" t="str">
        <x:v>Practice Worker/Operations</x:v>
      </x:c>
      <x:c r="K213" s="43" t="str">
        <x:v>practice</x:v>
      </x:c>
      <x:c r="L213" s="43" t="str">
        <x:v>Practice-15F</x:v>
      </x:c>
      <x:c r="M213" s="43" t="str">
        <x:v>Backlog</x:v>
      </x:c>
      <x:c r="N213" s="43" t="str">
        <x:v>PRACTICE_PHASE_10_16_EXECUTION_BLUEPRINT.md §15F</x:v>
      </x:c>
    </x:row>
    <x:row r="214" ht="54" customHeight="1">
      <x:c r="A214" s="43" t="str">
        <x:v>PRA-15F-T02</x:v>
      </x:c>
      <x:c r="B214" s="43" t="str">
        <x:v>Yes</x:v>
      </x:c>
      <x:c r="C214" s="43" t="str">
        <x:v>Task</x:v>
      </x:c>
      <x:c r="D214" s="43" t="str">
        <x:v>Execute Operations gate</x:v>
      </x:c>
      <x:c r="E214" s="43" t="str">
        <x:v>PRA-15F</x:v>
      </x:c>
      <x:c r="F214" s="43" t="str"/>
      <x:c r="G214" s="43" t="str"/>
      <x:c r="H214" s="43" t="str">
        <x:v>Outage/rate-limit/cost runbooks, metrics, feature flags and production-safe configuration.</x:v>
      </x:c>
      <x:c r="I214" s="43" t="str">
        <x:v>Medium</x:v>
      </x:c>
      <x:c r="J214" s="43" t="str">
        <x:v>Practice Worker/Operations</x:v>
      </x:c>
      <x:c r="K214" s="43" t="str">
        <x:v>practice</x:v>
      </x:c>
      <x:c r="L214" s="43" t="str">
        <x:v>Practice-15F</x:v>
      </x:c>
      <x:c r="M214" s="43" t="str">
        <x:v>Backlog</x:v>
      </x:c>
      <x:c r="N214" s="43" t="str">
        <x:v>PRACTICE_PHASE_10_16_EXECUTION_BLUEPRINT.md §15F</x:v>
      </x:c>
    </x:row>
    <x:row r="215" ht="54" customHeight="1">
      <x:c r="A215" s="43" t="str">
        <x:v>PRA-15F-T03</x:v>
      </x:c>
      <x:c r="B215" s="43" t="str">
        <x:v>Yes</x:v>
      </x:c>
      <x:c r="C215" s="43" t="str">
        <x:v>Task</x:v>
      </x:c>
      <x:c r="D215" s="43" t="str">
        <x:v>Record Operations evidence and verdict</x:v>
      </x:c>
      <x:c r="E215" s="43" t="str">
        <x:v>PRA-15F</x:v>
      </x:c>
      <x:c r="F215" s="43" t="str"/>
      <x:c r="G215" s="43" t="str"/>
      <x:c r="H215" s="43" t="str">
        <x:v>Evidence linked; debt/blocker explicitly routed.</x:v>
      </x:c>
      <x:c r="I215" s="43" t="str">
        <x:v>Medium</x:v>
      </x:c>
      <x:c r="J215" s="43" t="str">
        <x:v>Practice Worker/Operations</x:v>
      </x:c>
      <x:c r="K215" s="43" t="str">
        <x:v>practice</x:v>
      </x:c>
      <x:c r="L215" s="43" t="str">
        <x:v>Practice-15F</x:v>
      </x:c>
      <x:c r="M215" s="43" t="str">
        <x:v>Backlog</x:v>
      </x:c>
      <x:c r="N215" s="43" t="str">
        <x:v>PRACTICE_PHASE_10_16_EXECUTION_BLUEPRINT.md §15F</x:v>
      </x:c>
    </x:row>
    <x:row r="216" ht="54" customHeight="1">
      <x:c r="A216" s="43" t="str">
        <x:v>PRA-15G</x:v>
      </x:c>
      <x:c r="B216" s="43" t="str">
        <x:v>Yes</x:v>
      </x:c>
      <x:c r="C216" s="43" t="str">
        <x:v>Epic</x:v>
      </x:c>
      <x:c r="D216" s="43" t="str">
        <x:v>Debt Closure Review</x:v>
      </x:c>
      <x:c r="E216" s="43" t="str">
        <x:v>PRA-PROGRAM</x:v>
      </x:c>
      <x:c r="F216" s="43" t="str">
        <x:v>Debt Closure Review</x:v>
      </x:c>
      <x:c r="G216" s="43" t="str">
        <x:v>Debt Closure Review</x:v>
      </x:c>
      <x:c r="H216" s="43" t="str">
        <x:v>Every accepted debt becomes PAID, DEFERRED_WITH_OWNER_AND_TRIGGER or RELEASE_BLOCKER.</x:v>
      </x:c>
      <x:c r="I216" s="43" t="str">
        <x:v>Medium</x:v>
      </x:c>
      <x:c r="J216" s="43" t="str">
        <x:v>Practice Program</x:v>
      </x:c>
      <x:c r="K216" s="43" t="str">
        <x:v>practice</x:v>
      </x:c>
      <x:c r="L216" s="43" t="str">
        <x:v>Practice-15G</x:v>
      </x:c>
      <x:c r="M216" s="43" t="str">
        <x:v>Backlog</x:v>
      </x:c>
      <x:c r="N216" s="43" t="str">
        <x:v>PRACTICE_PHASE_10_16_EXECUTION_BLUEPRINT.md §15G</x:v>
      </x:c>
    </x:row>
    <x:row r="217" ht="54" customHeight="1">
      <x:c r="A217" s="43" t="str">
        <x:v>PRA-15G-T01</x:v>
      </x:c>
      <x:c r="B217" s="43" t="str">
        <x:v>Yes</x:v>
      </x:c>
      <x:c r="C217" s="43" t="str">
        <x:v>Task</x:v>
      </x:c>
      <x:c r="D217" s="43" t="str">
        <x:v>Plan and lock Debt Closure Review scope</x:v>
      </x:c>
      <x:c r="E217" s="43" t="str">
        <x:v>PRA-15G</x:v>
      </x:c>
      <x:c r="F217" s="43" t="str"/>
      <x:c r="G217" s="43" t="str"/>
      <x:c r="H217" s="43" t="str">
        <x:v>Owner, environment, evidence and rollback defined.</x:v>
      </x:c>
      <x:c r="I217" s="43" t="str">
        <x:v>Medium</x:v>
      </x:c>
      <x:c r="J217" s="43" t="str">
        <x:v>Practice Program</x:v>
      </x:c>
      <x:c r="K217" s="43" t="str">
        <x:v>practice</x:v>
      </x:c>
      <x:c r="L217" s="43" t="str">
        <x:v>Practice-15G</x:v>
      </x:c>
      <x:c r="M217" s="43" t="str">
        <x:v>Backlog</x:v>
      </x:c>
      <x:c r="N217" s="43" t="str">
        <x:v>PRACTICE_PHASE_10_16_EXECUTION_BLUEPRINT.md §15G</x:v>
      </x:c>
    </x:row>
    <x:row r="218" ht="54" customHeight="1">
      <x:c r="A218" s="43" t="str">
        <x:v>PRA-15G-T02</x:v>
      </x:c>
      <x:c r="B218" s="43" t="str">
        <x:v>Yes</x:v>
      </x:c>
      <x:c r="C218" s="43" t="str">
        <x:v>Task</x:v>
      </x:c>
      <x:c r="D218" s="43" t="str">
        <x:v>Execute Debt Closure Review gate</x:v>
      </x:c>
      <x:c r="E218" s="43" t="str">
        <x:v>PRA-15G</x:v>
      </x:c>
      <x:c r="F218" s="43" t="str"/>
      <x:c r="G218" s="43" t="str"/>
      <x:c r="H218" s="43" t="str">
        <x:v>Every accepted debt becomes PAID, DEFERRED_WITH_OWNER_AND_TRIGGER or RELEASE_BLOCKER.</x:v>
      </x:c>
      <x:c r="I218" s="43" t="str">
        <x:v>Medium</x:v>
      </x:c>
      <x:c r="J218" s="43" t="str">
        <x:v>Practice Program</x:v>
      </x:c>
      <x:c r="K218" s="43" t="str">
        <x:v>practice</x:v>
      </x:c>
      <x:c r="L218" s="43" t="str">
        <x:v>Practice-15G</x:v>
      </x:c>
      <x:c r="M218" s="43" t="str">
        <x:v>Backlog</x:v>
      </x:c>
      <x:c r="N218" s="43" t="str">
        <x:v>PRACTICE_PHASE_10_16_EXECUTION_BLUEPRINT.md §15G</x:v>
      </x:c>
    </x:row>
    <x:row r="219" ht="54" customHeight="1">
      <x:c r="A219" s="43" t="str">
        <x:v>PRA-15G-T03</x:v>
      </x:c>
      <x:c r="B219" s="43" t="str">
        <x:v>Yes</x:v>
      </x:c>
      <x:c r="C219" s="43" t="str">
        <x:v>Task</x:v>
      </x:c>
      <x:c r="D219" s="43" t="str">
        <x:v>Record Debt Closure Review evidence and verdict</x:v>
      </x:c>
      <x:c r="E219" s="43" t="str">
        <x:v>PRA-15G</x:v>
      </x:c>
      <x:c r="F219" s="43" t="str"/>
      <x:c r="G219" s="43" t="str"/>
      <x:c r="H219" s="43" t="str">
        <x:v>Evidence linked; debt/blocker explicitly routed.</x:v>
      </x:c>
      <x:c r="I219" s="43" t="str">
        <x:v>Medium</x:v>
      </x:c>
      <x:c r="J219" s="43" t="str">
        <x:v>Practice Program</x:v>
      </x:c>
      <x:c r="K219" s="43" t="str">
        <x:v>practice</x:v>
      </x:c>
      <x:c r="L219" s="43" t="str">
        <x:v>Practice-15G</x:v>
      </x:c>
      <x:c r="M219" s="43" t="str">
        <x:v>Backlog</x:v>
      </x:c>
      <x:c r="N219" s="43" t="str">
        <x:v>PRACTICE_PHASE_10_16_EXECUTION_BLUEPRINT.md §15G</x:v>
      </x:c>
    </x:row>
    <x:row r="220" ht="54" customHeight="1">
      <x:c r="A220" s="43" t="str">
        <x:v>PRA-15H</x:v>
      </x:c>
      <x:c r="B220" s="43" t="str">
        <x:v>Yes</x:v>
      </x:c>
      <x:c r="C220" s="43" t="str">
        <x:v>Epic</x:v>
      </x:c>
      <x:c r="D220" s="43" t="str">
        <x:v>Capability-Specific Release Verdict</x:v>
      </x:c>
      <x:c r="E220" s="43" t="str">
        <x:v>PRA-PROGRAM</x:v>
      </x:c>
      <x:c r="F220" s="43" t="str">
        <x:v>Capability-Specific Release Verdict</x:v>
      </x:c>
      <x:c r="G220" s="43" t="str">
        <x:v>Capability-Specific Release Verdict</x:v>
      </x:c>
      <x:c r="H220" s="43" t="str">
        <x:v>Separate GO/NO-GO for objective, Writing AI, Speaking text/media/live AI and prompt administration.</x:v>
      </x:c>
      <x:c r="I220" s="43" t="str">
        <x:v>Medium</x:v>
      </x:c>
      <x:c r="J220" s="43" t="str">
        <x:v>Practice Quality Gate</x:v>
      </x:c>
      <x:c r="K220" s="43" t="str">
        <x:v>practice</x:v>
      </x:c>
      <x:c r="L220" s="43" t="str">
        <x:v>Practice-15H</x:v>
      </x:c>
      <x:c r="M220" s="43" t="str">
        <x:v>Backlog</x:v>
      </x:c>
      <x:c r="N220" s="43" t="str">
        <x:v>PRACTICE_PHASE_10_16_EXECUTION_BLUEPRINT.md §15H</x:v>
      </x:c>
    </x:row>
    <x:row r="221" ht="54" customHeight="1">
      <x:c r="A221" s="43" t="str">
        <x:v>PRA-15H-T01</x:v>
      </x:c>
      <x:c r="B221" s="43" t="str">
        <x:v>Yes</x:v>
      </x:c>
      <x:c r="C221" s="43" t="str">
        <x:v>Task</x:v>
      </x:c>
      <x:c r="D221" s="43" t="str">
        <x:v>Plan and lock Capability-Specific Release Verdict scope</x:v>
      </x:c>
      <x:c r="E221" s="43" t="str">
        <x:v>PRA-15H</x:v>
      </x:c>
      <x:c r="F221" s="43" t="str"/>
      <x:c r="G221" s="43" t="str"/>
      <x:c r="H221" s="43" t="str">
        <x:v>Owner, environment, evidence and rollback defined.</x:v>
      </x:c>
      <x:c r="I221" s="43" t="str">
        <x:v>Medium</x:v>
      </x:c>
      <x:c r="J221" s="43" t="str">
        <x:v>Practice Quality Gate</x:v>
      </x:c>
      <x:c r="K221" s="43" t="str">
        <x:v>practice</x:v>
      </x:c>
      <x:c r="L221" s="43" t="str">
        <x:v>Practice-15H</x:v>
      </x:c>
      <x:c r="M221" s="43" t="str">
        <x:v>Backlog</x:v>
      </x:c>
      <x:c r="N221" s="43" t="str">
        <x:v>PRACTICE_PHASE_10_16_EXECUTION_BLUEPRINT.md §15H</x:v>
      </x:c>
    </x:row>
    <x:row r="222" ht="54" customHeight="1">
      <x:c r="A222" s="43" t="str">
        <x:v>PRA-15H-T02</x:v>
      </x:c>
      <x:c r="B222" s="43" t="str">
        <x:v>Yes</x:v>
      </x:c>
      <x:c r="C222" s="43" t="str">
        <x:v>Task</x:v>
      </x:c>
      <x:c r="D222" s="43" t="str">
        <x:v>Execute Capability-Specific Release Verdict gate</x:v>
      </x:c>
      <x:c r="E222" s="43" t="str">
        <x:v>PRA-15H</x:v>
      </x:c>
      <x:c r="F222" s="43" t="str"/>
      <x:c r="G222" s="43" t="str"/>
      <x:c r="H222" s="43" t="str">
        <x:v>Separate GO/NO-GO for objective, Writing AI, Speaking text/media/live AI and prompt administration.</x:v>
      </x:c>
      <x:c r="I222" s="43" t="str">
        <x:v>Medium</x:v>
      </x:c>
      <x:c r="J222" s="43" t="str">
        <x:v>Practice Quality Gate</x:v>
      </x:c>
      <x:c r="K222" s="43" t="str">
        <x:v>practice</x:v>
      </x:c>
      <x:c r="L222" s="43" t="str">
        <x:v>Practice-15H</x:v>
      </x:c>
      <x:c r="M222" s="43" t="str">
        <x:v>Backlog</x:v>
      </x:c>
      <x:c r="N222" s="43" t="str">
        <x:v>PRACTICE_PHASE_10_16_EXECUTION_BLUEPRINT.md §15H</x:v>
      </x:c>
    </x:row>
    <x:row r="223" ht="54" customHeight="1">
      <x:c r="A223" s="43" t="str">
        <x:v>PRA-15H-T03</x:v>
      </x:c>
      <x:c r="B223" s="43" t="str">
        <x:v>Yes</x:v>
      </x:c>
      <x:c r="C223" s="43" t="str">
        <x:v>Task</x:v>
      </x:c>
      <x:c r="D223" s="43" t="str">
        <x:v>Record Capability-Specific Release Verdict evidence and verdict</x:v>
      </x:c>
      <x:c r="E223" s="43" t="str">
        <x:v>PRA-15H</x:v>
      </x:c>
      <x:c r="F223" s="43" t="str"/>
      <x:c r="G223" s="43" t="str"/>
      <x:c r="H223" s="43" t="str">
        <x:v>Evidence linked; debt/blocker explicitly routed.</x:v>
      </x:c>
      <x:c r="I223" s="43" t="str">
        <x:v>Medium</x:v>
      </x:c>
      <x:c r="J223" s="43" t="str">
        <x:v>Practice Quality Gate</x:v>
      </x:c>
      <x:c r="K223" s="43" t="str">
        <x:v>practice</x:v>
      </x:c>
      <x:c r="L223" s="43" t="str">
        <x:v>Practice-15H</x:v>
      </x:c>
      <x:c r="M223" s="43" t="str">
        <x:v>Backlog</x:v>
      </x:c>
      <x:c r="N223" s="43" t="str">
        <x:v>PRACTICE_PHASE_10_16_EXECUTION_BLUEPRINT.md §15H</x:v>
      </x:c>
    </x:row>
    <x:row r="224" ht="54" customHeight="1">
      <x:c r="A224" s="43" t="str">
        <x:v>PRA-16</x:v>
      </x:c>
      <x:c r="B224" s="43" t="str">
        <x:v>Needs Review</x:v>
      </x:c>
      <x:c r="C224" s="43" t="str">
        <x:v>Epic</x:v>
      </x:c>
      <x:c r="D224" s="43" t="str">
        <x:v>Optional Grounded Practice Chatbot</x:v>
      </x:c>
      <x:c r="E224" s="43" t="str">
        <x:v>PRA-PROGRAM</x:v>
      </x:c>
      <x:c r="F224" s="43" t="str">
        <x:v>Optional Grounded Practice Chatbot</x:v>
      </x:c>
      <x:c r="G224" s="43" t="str">
        <x:v>Optional follow-up assistant grounded in immutable authorized content.</x:v>
      </x:c>
      <x:c r="H224" s="43" t="str">
        <x:v>Explicit product GO; ACL, no answer leakage, privacy, cost and groundedness gates.</x:v>
      </x:c>
      <x:c r="I224" s="43" t="str">
        <x:v>Medium</x:v>
      </x:c>
      <x:c r="J224" s="43" t="str">
        <x:v>Practice Chatbot</x:v>
      </x:c>
      <x:c r="K224" s="43" t="str">
        <x:v>practice</x:v>
      </x:c>
      <x:c r="L224" s="43" t="str">
        <x:v>Post-Release</x:v>
      </x:c>
      <x:c r="M224" s="43" t="str">
        <x:v>Icebox</x:v>
      </x:c>
      <x:c r="N224" s="43" t="str">
        <x:v>PRACTICE_PHASE_10_16_EXECUTION_BLUEPRINT.md §Phase 16</x:v>
      </x:c>
    </x:row>
    <x:row r="225" ht="54" customHeight="1">
      <x:c r="A225" s="43" t="str">
        <x:v>PRA-16-A</x:v>
      </x:c>
      <x:c r="B225" s="43" t="str">
        <x:v>Needs Review</x:v>
      </x:c>
      <x:c r="C225" s="43" t="str">
        <x:v>Task</x:v>
      </x:c>
      <x:c r="D225" s="43" t="str">
        <x:v>Product, quota, ROI and cost decision gate</x:v>
      </x:c>
      <x:c r="E225" s="43" t="str">
        <x:v>PRA-16</x:v>
      </x:c>
      <x:c r="F225" s="43" t="str"/>
      <x:c r="G225" s="43" t="str"/>
      <x:c r="H225" s="43" t="str"/>
      <x:c r="I225" s="43" t="str">
        <x:v>Medium</x:v>
      </x:c>
      <x:c r="J225" s="43" t="str">
        <x:v>Practice Chatbot</x:v>
      </x:c>
      <x:c r="K225" s="43" t="str">
        <x:v>practice</x:v>
      </x:c>
      <x:c r="L225" s="43" t="str">
        <x:v>Post-Release</x:v>
      </x:c>
      <x:c r="M225" s="43" t="str">
        <x:v>Icebox</x:v>
      </x:c>
      <x:c r="N225" s="43" t="str">
        <x:v>PRACTICE_PHASE_10_16_EXECUTION_BLUEPRINT.md §Phase 16</x:v>
      </x:c>
    </x:row>
    <x:row r="226" ht="54" customHeight="1">
      <x:c r="A226" s="43" t="str">
        <x:v>PRA-16-B</x:v>
      </x:c>
      <x:c r="B226" s="43" t="str">
        <x:v>Needs Review</x:v>
      </x:c>
      <x:c r="C226" s="43" t="str">
        <x:v>Task</x:v>
      </x:c>
      <x:c r="D226" s="43" t="str">
        <x:v>Grounded retrieval and ACL</x:v>
      </x:c>
      <x:c r="E226" s="43" t="str">
        <x:v>PRA-16</x:v>
      </x:c>
      <x:c r="F226" s="43" t="str"/>
      <x:c r="G226" s="43" t="str"/>
      <x:c r="H226" s="43" t="str"/>
      <x:c r="I226" s="43" t="str">
        <x:v>Medium</x:v>
      </x:c>
      <x:c r="J226" s="43" t="str">
        <x:v>Practice Chatbot</x:v>
      </x:c>
      <x:c r="K226" s="43" t="str">
        <x:v>practice</x:v>
      </x:c>
      <x:c r="L226" s="43" t="str">
        <x:v>Post-Release</x:v>
      </x:c>
      <x:c r="M226" s="43" t="str">
        <x:v>Icebox</x:v>
      </x:c>
      <x:c r="N226" s="43" t="str">
        <x:v>PRACTICE_PHASE_10_16_EXECUTION_BLUEPRINT.md §Phase 16</x:v>
      </x:c>
    </x:row>
    <x:row r="227" ht="54" customHeight="1">
      <x:c r="A227" s="43" t="str">
        <x:v>PRA-16-C</x:v>
      </x:c>
      <x:c r="B227" s="43" t="str">
        <x:v>Needs Review</x:v>
      </x:c>
      <x:c r="C227" s="43" t="str">
        <x:v>Task</x:v>
      </x:c>
      <x:c r="D227" s="43" t="str">
        <x:v>Vietnamese/Korean chat contract</x:v>
      </x:c>
      <x:c r="E227" s="43" t="str">
        <x:v>PRA-16</x:v>
      </x:c>
      <x:c r="F227" s="43" t="str"/>
      <x:c r="G227" s="43" t="str"/>
      <x:c r="H227" s="43" t="str"/>
      <x:c r="I227" s="43" t="str">
        <x:v>Medium</x:v>
      </x:c>
      <x:c r="J227" s="43" t="str">
        <x:v>Practice Chatbot</x:v>
      </x:c>
      <x:c r="K227" s="43" t="str">
        <x:v>practice</x:v>
      </x:c>
      <x:c r="L227" s="43" t="str">
        <x:v>Post-Release</x:v>
      </x:c>
      <x:c r="M227" s="43" t="str">
        <x:v>Icebox</x:v>
      </x:c>
      <x:c r="N227" s="43" t="str">
        <x:v>PRACTICE_PHASE_10_16_EXECUTION_BLUEPRINT.md §Phase 16</x:v>
      </x:c>
    </x:row>
    <x:row r="228" ht="54" customHeight="1">
      <x:c r="A228" s="43" t="str">
        <x:v>PRA-16-D</x:v>
      </x:c>
      <x:c r="B228" s="43" t="str">
        <x:v>Needs Review</x:v>
      </x:c>
      <x:c r="C228" s="43" t="str">
        <x:v>Task</x:v>
      </x:c>
      <x:c r="D228" s="43" t="str">
        <x:v>Prompt injection, pedagogy and no-score-change safeguards</x:v>
      </x:c>
      <x:c r="E228" s="43" t="str">
        <x:v>PRA-16</x:v>
      </x:c>
      <x:c r="F228" s="43" t="str"/>
      <x:c r="G228" s="43" t="str"/>
      <x:c r="H228" s="43" t="str"/>
      <x:c r="I228" s="43" t="str">
        <x:v>Medium</x:v>
      </x:c>
      <x:c r="J228" s="43" t="str">
        <x:v>Practice Chatbot</x:v>
      </x:c>
      <x:c r="K228" s="43" t="str">
        <x:v>practice</x:v>
      </x:c>
      <x:c r="L228" s="43" t="str">
        <x:v>Post-Release</x:v>
      </x:c>
      <x:c r="M228" s="43" t="str">
        <x:v>Icebox</x:v>
      </x:c>
      <x:c r="N228" s="43" t="str">
        <x:v>PRACTICE_PHASE_10_16_EXECUTION_BLUEPRINT.md §Phase 16</x:v>
      </x:c>
    </x:row>
    <x:row r="229" ht="54" customHeight="1">
      <x:c r="A229" s="43" t="str">
        <x:v>PRA-16-E</x:v>
      </x:c>
      <x:c r="B229" s="43" t="str">
        <x:v>Needs Review</x:v>
      </x:c>
      <x:c r="C229" s="43" t="str">
        <x:v>Task</x:v>
      </x:c>
      <x:c r="D229" s="43" t="str">
        <x:v>Groundedness, privacy, leakage, cost and latency evaluation</x:v>
      </x:c>
      <x:c r="E229" s="43" t="str">
        <x:v>PRA-16</x:v>
      </x:c>
      <x:c r="F229" s="43" t="str"/>
      <x:c r="G229" s="43" t="str"/>
      <x:c r="H229" s="43" t="str"/>
      <x:c r="I229" s="43" t="str">
        <x:v>Medium</x:v>
      </x:c>
      <x:c r="J229" s="43" t="str">
        <x:v>Practice Chatbot</x:v>
      </x:c>
      <x:c r="K229" s="43" t="str">
        <x:v>practice</x:v>
      </x:c>
      <x:c r="L229" s="43" t="str">
        <x:v>Post-Release</x:v>
      </x:c>
      <x:c r="M229" s="43" t="str">
        <x:v>Icebox</x:v>
      </x:c>
      <x:c r="N229" s="43" t="str">
        <x:v>PRACTICE_PHASE_10_16_EXECUTION_BLUEPRINT.md §Phase 16</x:v>
      </x:c>
    </x:row>
    <x:row r="230" ht="54" customHeight="1">
      <x:c r="A230" s="43" t="str">
        <x:v>PRA-16-F</x:v>
      </x:c>
      <x:c r="B230" s="43" t="str">
        <x:v>Needs Review</x:v>
      </x:c>
      <x:c r="C230" s="43" t="str">
        <x:v>Task</x:v>
      </x:c>
      <x:c r="D230" s="43" t="str">
        <x:v>Contextual UI, accessibility, feature flag and cohort rollout</x:v>
      </x:c>
      <x:c r="E230" s="43" t="str">
        <x:v>PRA-16</x:v>
      </x:c>
      <x:c r="F230" s="43" t="str"/>
      <x:c r="G230" s="43" t="str"/>
      <x:c r="H230" s="43" t="str"/>
      <x:c r="I230" s="43" t="str">
        <x:v>Medium</x:v>
      </x:c>
      <x:c r="J230" s="43" t="str">
        <x:v>Practice Chatbot</x:v>
      </x:c>
      <x:c r="K230" s="43" t="str">
        <x:v>practice</x:v>
      </x:c>
      <x:c r="L230" s="43" t="str">
        <x:v>Post-Release</x:v>
      </x:c>
      <x:c r="M230" s="43" t="str">
        <x:v>Icebox</x:v>
      </x:c>
      <x:c r="N230" s="43" t="str">
        <x:v>PRACTICE_PHASE_10_16_EXECUTION_BLUEPRINT.md §Phase 16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4c3bd53ee9e48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24" hidden="0" customWidth="1"/>
    <x:col min="4" max="4" width="14" hidden="0" customWidth="1"/>
    <x:col min="5" max="5" width="44" hidden="0" customWidth="1"/>
    <x:col min="6" max="6" width="44" hidden="0" customWidth="1"/>
    <x:col min="7" max="7" width="48" hidden="0" customWidth="1"/>
  </x:cols>
  <x:sheetData>
    <x:row r="1" ht="30" customHeight="1">
      <x:c r="A1" s="3" t="str">
        <x:v>Markdown Source Manifest</x:v>
      </x:c>
      <x:c r="B1" s="3"/>
      <x:c r="C1" s="3"/>
      <x:c r="D1" s="3"/>
      <x:c r="E1" s="3"/>
      <x:c r="F1" s="3"/>
      <x:c r="G1" s="3"/>
    </x:row>
    <x:row r="2" ht="34" customHeight="1">
      <x:c r="A2" s="7" t="str">
        <x:v>23 Markdown files were read from the fetched remote ref. Authority controls whether a document can drive Jira work.</x:v>
      </x:c>
      <x:c r="B2" s="7"/>
      <x:c r="C2" s="7"/>
      <x:c r="D2" s="7"/>
      <x:c r="E2" s="7"/>
      <x:c r="F2" s="7"/>
      <x:c r="G2" s="7"/>
    </x:row>
    <x:row r="4" ht="34" customHeight="1">
      <x:c r="A4" s="34" t="str">
        <x:v>Source ID</x:v>
      </x:c>
      <x:c r="B4" s="35" t="str">
        <x:v>Markdown Path</x:v>
      </x:c>
      <x:c r="C4" s="35" t="str">
        <x:v>Category</x:v>
      </x:c>
      <x:c r="D4" s="35" t="str">
        <x:v>Authority</x:v>
      </x:c>
      <x:c r="E4" s="35" t="str">
        <x:v>Use</x:v>
      </x:c>
      <x:c r="F4" s="35" t="str">
        <x:v>Git Ref</x:v>
      </x:c>
      <x:c r="G4" s="36" t="str">
        <x:v>Notes</x:v>
      </x:c>
    </x:row>
    <x:row r="5" ht="48" customHeight="1">
      <x:c r="A5" s="42" t="str">
        <x:v>SRC-01</x:v>
      </x:c>
      <x:c r="B5" s="42" t="str">
        <x:v>CODEX_PRACTICE_WORKFLOW.md</x:v>
      </x:c>
      <x:c r="C5" s="42" t="str">
        <x:v>Canonical Workflow</x:v>
      </x:c>
      <x:c r="D5" s="42" t="str">
        <x:v>Highest</x:v>
      </x:c>
      <x:c r="E5" s="42" t="str">
        <x:v>Current status, phase ledger and next action</x:v>
      </x:c>
      <x:c r="F5" s="42" t="str">
        <x:v>origin/feature/practice-reduce-scope@da350b5d</x:v>
      </x:c>
      <x:c r="G5" s="42" t="str">
        <x:v>Primary source of truth</x:v>
      </x:c>
    </x:row>
    <x:row r="6" ht="48" customHeight="1">
      <x:c r="A6" s="43" t="str">
        <x:v>SRC-02</x:v>
      </x:c>
      <x:c r="B6" s="43" t="str">
        <x:v>docs/PRACTICE_PHASE_13_IMPLEMENTATION_AND_GATE.md</x:v>
      </x:c>
      <x:c r="C6" s="43" t="str">
        <x:v>Canonical Gate</x:v>
      </x:c>
      <x:c r="D6" s="43" t="str">
        <x:v>Highest</x:v>
      </x:c>
      <x:c r="E6" s="43" t="str">
        <x:v>Phase 13 and exact 13D contract</x:v>
      </x:c>
      <x:c r="F6" s="43" t="str">
        <x:v>origin/feature/practice-reduce-scope@da350b5d</x:v>
      </x:c>
      <x:c r="G6" s="43" t="str">
        <x:v>Section 6.9 controls 13D</x:v>
      </x:c>
    </x:row>
    <x:row r="7" ht="48" customHeight="1">
      <x:c r="A7" s="43" t="str">
        <x:v>SRC-03</x:v>
      </x:c>
      <x:c r="B7" s="43" t="str">
        <x:v>PRACTICE_PHASE_10_16_EXECUTION_BLUEPRINT.md</x:v>
      </x:c>
      <x:c r="C7" s="43" t="str">
        <x:v>Roadmap</x:v>
      </x:c>
      <x:c r="D7" s="43" t="str">
        <x:v>High</x:v>
      </x:c>
      <x:c r="E7" s="43" t="str">
        <x:v>Phase 10-16 intent and gates</x:v>
      </x:c>
      <x:c r="F7" s="43" t="str">
        <x:v>origin/feature/practice-reduce-scope@da350b5d</x:v>
      </x:c>
      <x:c r="G7" s="43" t="str">
        <x:v>Newer slice sections override stale top-level status</x:v>
      </x:c>
    </x:row>
    <x:row r="8" ht="48" customHeight="1">
      <x:c r="A8" s="43" t="str">
        <x:v>SRC-04</x:v>
      </x:c>
      <x:c r="B8" s="43" t="str">
        <x:v>docs/PRACTICE_PHASE_15_COMPATIBILITY_CLEANUP_AND_SEED_UAT_INVENTORY.md</x:v>
      </x:c>
      <x:c r="C8" s="43" t="str">
        <x:v>Current Inventory</x:v>
      </x:c>
      <x:c r="D8" s="43" t="str">
        <x:v>High</x:v>
      </x:c>
      <x:c r="E8" s="43" t="str">
        <x:v>P15-COMP and KEEP matrix</x:v>
      </x:c>
      <x:c r="F8" s="43" t="str">
        <x:v>origin/feature/practice-reduce-scope@da350b5d</x:v>
      </x:c>
      <x:c r="G8" s="43" t="str">
        <x:v>Inventory only; Phase 15 not started</x:v>
      </x:c>
    </x:row>
    <x:row r="9" ht="48" customHeight="1">
      <x:c r="A9" s="43" t="str">
        <x:v>SRC-05</x:v>
      </x:c>
      <x:c r="B9" s="43" t="str">
        <x:v>docs/operations/practice-ai-cache-retention-runbook.md</x:v>
      </x:c>
      <x:c r="C9" s="43" t="str">
        <x:v>Operations</x:v>
      </x:c>
      <x:c r="D9" s="43" t="str">
        <x:v>High</x:v>
      </x:c>
      <x:c r="E9" s="43" t="str">
        <x:v>Artifact/task inspection and retention</x:v>
      </x:c>
      <x:c r="F9" s="43" t="str">
        <x:v>origin/feature/practice-reduce-scope@da350b5d</x:v>
      </x:c>
      <x:c r="G9" s="43" t="str">
        <x:v>Read-only default</x:v>
      </x:c>
    </x:row>
    <x:row r="10" ht="48" customHeight="1">
      <x:c r="A10" s="43" t="str">
        <x:v>SRC-06</x:v>
      </x:c>
      <x:c r="B10" s="43" t="str">
        <x:v>openspec/specs/practice/practice-feature.md</x:v>
      </x:c>
      <x:c r="C10" s="43" t="str">
        <x:v>Current + Historical</x:v>
      </x:c>
      <x:c r="D10" s="43" t="str">
        <x:v>Medium</x:v>
      </x:c>
      <x:c r="E10" s="43" t="str">
        <x:v>Only top Phase 13D contract is current</x:v>
      </x:c>
      <x:c r="F10" s="43" t="str">
        <x:v>origin/feature/practice-reduce-scope@da350b5d</x:v>
      </x:c>
      <x:c r="G10" s="43" t="str">
        <x:v>Remaining sections self-declared legacy</x:v>
      </x:c>
    </x:row>
    <x:row r="11" ht="48" customHeight="1">
      <x:c r="A11" s="43" t="str">
        <x:v>SRC-07</x:v>
      </x:c>
      <x:c r="B11" s="43" t="str">
        <x:v>docs/PRACTICE_SINGLE_SCOPE_REDUCTION_AUDIT.md</x:v>
      </x:c>
      <x:c r="C11" s="43" t="str">
        <x:v>Historical Canonical</x:v>
      </x:c>
      <x:c r="D11" s="43" t="str">
        <x:v>Medium</x:v>
      </x:c>
      <x:c r="E11" s="43" t="str">
        <x:v>12R reduction evidence</x:v>
      </x:c>
      <x:c r="F11" s="43" t="str">
        <x:v>origin/feature/practice-reduce-scope@da350b5d</x:v>
      </x:c>
      <x:c r="G11" s="43" t="str">
        <x:v>Explanation cache section superseded by 13D</x:v>
      </x:c>
    </x:row>
    <x:row r="12" ht="48" customHeight="1">
      <x:c r="A12" s="43" t="str">
        <x:v>SRC-08</x:v>
      </x:c>
      <x:c r="B12" s="43" t="str">
        <x:v>docs/PRACTICE_PHASE_12_CONTINUATION_AND_CLOSURE_PLAN.md</x:v>
      </x:c>
      <x:c r="C12" s="43" t="str">
        <x:v>Superseded Plan</x:v>
      </x:c>
      <x:c r="D12" s="43" t="str">
        <x:v>Low</x:v>
      </x:c>
      <x:c r="E12" s="43" t="str">
        <x:v>Historical Phase 12 planning</x:v>
      </x:c>
      <x:c r="F12" s="43" t="str">
        <x:v>origin/feature/practice-reduce-scope@da350b5d</x:v>
      </x:c>
      <x:c r="G12" s="43" t="str">
        <x:v>Program/certificate governance removed by 12R</x:v>
      </x:c>
    </x:row>
    <x:row r="13" ht="48" customHeight="1">
      <x:c r="A13" s="43" t="str">
        <x:v>SRC-09</x:v>
      </x:c>
      <x:c r="B13" s="43" t="str">
        <x:v>docs/research-input/phase-13-14-prep-ui-ux-research-checkpoint.md</x:v>
      </x:c>
      <x:c r="C13" s="43" t="str">
        <x:v>Research</x:v>
      </x:c>
      <x:c r="D13" s="43" t="str">
        <x:v>Low</x:v>
      </x:c>
      <x:c r="E13" s="43" t="str">
        <x:v>Learner UX evidence only</x:v>
      </x:c>
      <x:c r="F13" s="43" t="str">
        <x:v>origin/feature/practice-reduce-scope@da350b5d</x:v>
      </x:c>
      <x:c r="G13" s="43" t="str">
        <x:v>Not implementation authority</x:v>
      </x:c>
    </x:row>
    <x:row r="14" ht="48" customHeight="1">
      <x:c r="A14" s="43" t="str">
        <x:v>SRC-10</x:v>
      </x:c>
      <x:c r="B14" s="43" t="str">
        <x:v>openspec/changes/IMPLEMENTATION_ORDER.md</x:v>
      </x:c>
      <x:c r="C14" s="43" t="str">
        <x:v>Historical Plan</x:v>
      </x:c>
      <x:c r="D14" s="43" t="str">
        <x:v>Low</x:v>
      </x:c>
      <x:c r="E14" s="43" t="str">
        <x:v>Old sprint order</x:v>
      </x:c>
      <x:c r="F14" s="43" t="str">
        <x:v>origin/feature/practice-reduce-scope@da350b5d</x:v>
      </x:c>
      <x:c r="G14" s="43" t="str">
        <x:v>Stale in-memory cache/mock assumptions</x:v>
      </x:c>
    </x:row>
    <x:row r="15" ht="48" customHeight="1">
      <x:c r="A15" s="43" t="str">
        <x:v>SRC-11</x:v>
      </x:c>
      <x:c r="B15" s="43" t="str">
        <x:v>openspec/changes/practice-manage-refactor/design.md</x:v>
      </x:c>
      <x:c r="C15" s="43" t="str">
        <x:v>Historical Design</x:v>
      </x:c>
      <x:c r="D15" s="43" t="str">
        <x:v>Low</x:v>
      </x:c>
      <x:c r="E15" s="43" t="str">
        <x:v>Old manage refactor</x:v>
      </x:c>
      <x:c r="F15" s="43" t="str">
        <x:v>origin/feature/practice-reduce-scope@da350b5d</x:v>
      </x:c>
      <x:c r="G15" s="43" t="str">
        <x:v>Needs source confirmation</x:v>
      </x:c>
    </x:row>
    <x:row r="16" ht="48" customHeight="1">
      <x:c r="A16" s="43" t="str">
        <x:v>SRC-12</x:v>
      </x:c>
      <x:c r="B16" s="43" t="str">
        <x:v>openspec/changes/practice-manage-refactor/proposal.md</x:v>
      </x:c>
      <x:c r="C16" s="43" t="str">
        <x:v>Historical Proposal</x:v>
      </x:c>
      <x:c r="D16" s="43" t="str">
        <x:v>Low</x:v>
      </x:c>
      <x:c r="E16" s="43" t="str">
        <x:v>Old migration/test strategy</x:v>
      </x:c>
      <x:c r="F16" s="43" t="str">
        <x:v>origin/feature/practice-reduce-scope@da350b5d</x:v>
      </x:c>
      <x:c r="G16" s="43" t="str">
        <x:v>Migration numbering stale</x:v>
      </x:c>
    </x:row>
    <x:row r="17" ht="48" customHeight="1">
      <x:c r="A17" s="43" t="str">
        <x:v>SRC-13</x:v>
      </x:c>
      <x:c r="B17" s="43" t="str">
        <x:v>openspec/changes/practice-manage-refactor/tasks.md</x:v>
      </x:c>
      <x:c r="C17" s="43" t="str">
        <x:v>Historical Tasks</x:v>
      </x:c>
      <x:c r="D17" s="43" t="str">
        <x:v>Low</x:v>
      </x:c>
      <x:c r="E17" s="43" t="str">
        <x:v>Old task checklist</x:v>
      </x:c>
      <x:c r="F17" s="43" t="str">
        <x:v>origin/feature/practice-reduce-scope@da350b5d</x:v>
      </x:c>
      <x:c r="G17" s="43" t="str">
        <x:v>Checkboxes do not prove runtime</x:v>
      </x:c>
    </x:row>
    <x:row r="18" ht="48" customHeight="1">
      <x:c r="A18" s="43" t="str">
        <x:v>SRC-14</x:v>
      </x:c>
      <x:c r="B18" s="43" t="str">
        <x:v>openspec/changes/practice-v2-refactor/design.md</x:v>
      </x:c>
      <x:c r="C18" s="43" t="str">
        <x:v>Historical Design</x:v>
      </x:c>
      <x:c r="D18" s="43" t="str">
        <x:v>Low</x:v>
      </x:c>
      <x:c r="E18" s="43" t="str">
        <x:v>Old bug/refactor design</x:v>
      </x:c>
      <x:c r="F18" s="43" t="str">
        <x:v>origin/feature/practice-reduce-scope@da350b5d</x:v>
      </x:c>
      <x:c r="G18" s="43" t="str">
        <x:v>B1-B5 require source recheck</x:v>
      </x:c>
    </x:row>
    <x:row r="19" ht="48" customHeight="1">
      <x:c r="A19" s="43" t="str">
        <x:v>SRC-15</x:v>
      </x:c>
      <x:c r="B19" s="43" t="str">
        <x:v>openspec/changes/practice-v2-refactor/proposal.md</x:v>
      </x:c>
      <x:c r="C19" s="43" t="str">
        <x:v>Historical Test Plan</x:v>
      </x:c>
      <x:c r="D19" s="43" t="str">
        <x:v>Low</x:v>
      </x:c>
      <x:c r="E19" s="43" t="str">
        <x:v>Old coverage proposal</x:v>
      </x:c>
      <x:c r="F19" s="43" t="str">
        <x:v>origin/feature/practice-reduce-scope@da350b5d</x:v>
      </x:c>
      <x:c r="G19" s="43" t="str">
        <x:v>Contains retired contracts</x:v>
      </x:c>
    </x:row>
    <x:row r="20" ht="48" customHeight="1">
      <x:c r="A20" s="43" t="str">
        <x:v>SRC-16</x:v>
      </x:c>
      <x:c r="B20" s="43" t="str">
        <x:v>openspec/changes/practice-v2-refactor/tasks.md</x:v>
      </x:c>
      <x:c r="C20" s="43" t="str">
        <x:v>Historical Tasks</x:v>
      </x:c>
      <x:c r="D20" s="43" t="str">
        <x:v>Low</x:v>
      </x:c>
      <x:c r="E20" s="43" t="str">
        <x:v>Old v2 checklist</x:v>
      </x:c>
      <x:c r="F20" s="43" t="str">
        <x:v>origin/feature/practice-reduce-scope@da350b5d</x:v>
      </x:c>
      <x:c r="G20" s="43" t="str">
        <x:v>Do not create bugs without recheck</x:v>
      </x:c>
    </x:row>
    <x:row r="21" ht="48" customHeight="1">
      <x:c r="A21" s="43" t="str">
        <x:v>SRC-17</x:v>
      </x:c>
      <x:c r="B21" s="43" t="str">
        <x:v>implementation_plan.md</x:v>
      </x:c>
      <x:c r="C21" s="43" t="str">
        <x:v>Historical Plan</x:v>
      </x:c>
      <x:c r="D21" s="43" t="str">
        <x:v>Low</x:v>
      </x:c>
      <x:c r="E21" s="43" t="str">
        <x:v>Section/group/question refactor proposal</x:v>
      </x:c>
      <x:c r="F21" s="43" t="str">
        <x:v>origin/feature/practice-reduce-scope@da350b5d</x:v>
      </x:c>
      <x:c r="G21" s="43" t="str">
        <x:v>No completion evidence</x:v>
      </x:c>
    </x:row>
    <x:row r="22" ht="48" customHeight="1">
      <x:c r="A22" s="43" t="str">
        <x:v>SRC-18</x:v>
      </x:c>
      <x:c r="B22" s="43" t="str">
        <x:v>implementation_plan_refactor_writing_unify deterministic task evaluation .md</x:v>
      </x:c>
      <x:c r="C22" s="43" t="str">
        <x:v>Historical Plan</x:v>
      </x:c>
      <x:c r="D22" s="43" t="str">
        <x:v>Low</x:v>
      </x:c>
      <x:c r="E22" s="43" t="str">
        <x:v>Writing one-call proposal</x:v>
      </x:c>
      <x:c r="F22" s="43" t="str">
        <x:v>origin/feature/practice-reduce-scope@da350b5d</x:v>
      </x:c>
      <x:c r="G22" s="43" t="str">
        <x:v>Conflicts with old three-pass spec</x:v>
      </x:c>
    </x:row>
    <x:row r="23" ht="48" customHeight="1">
      <x:c r="A23" s="43" t="str">
        <x:v>SRC-19</x:v>
      </x:c>
      <x:c r="B23" s="43" t="str">
        <x:v>implementation_plan_testroom_1.md</x:v>
      </x:c>
      <x:c r="C23" s="43" t="str">
        <x:v>Historical Plan</x:v>
      </x:c>
      <x:c r="D23" s="43" t="str">
        <x:v>Low</x:v>
      </x:c>
      <x:c r="E23" s="43" t="str">
        <x:v>Group-based CBT proposal</x:v>
      </x:c>
      <x:c r="F23" s="43" t="str">
        <x:v>origin/feature/practice-reduce-scope@da350b5d</x:v>
      </x:c>
      <x:c r="G23" s="43" t="str">
        <x:v>No completion evidence</x:v>
      </x:c>
    </x:row>
    <x:row r="24" ht="48" customHeight="1">
      <x:c r="A24" s="43" t="str">
        <x:v>SRC-20</x:v>
      </x:c>
      <x:c r="B24" s="43" t="str">
        <x:v>openspec/specs/profile/spec.md</x:v>
      </x:c>
      <x:c r="C24" s="43" t="str">
        <x:v>Adjacent Spec</x:v>
      </x:c>
      <x:c r="D24" s="43" t="str">
        <x:v>Low</x:v>
      </x:c>
      <x:c r="E24" s="43" t="str">
        <x:v>Profile reference</x:v>
      </x:c>
      <x:c r="F24" s="43" t="str">
        <x:v>origin/feature/practice-reduce-scope@da350b5d</x:v>
      </x:c>
      <x:c r="G24" s="43" t="str">
        <x:v>Separate KSH-2 scope</x:v>
      </x:c>
    </x:row>
    <x:row r="25" ht="48" customHeight="1">
      <x:c r="A25" s="43" t="str">
        <x:v>SRC-21</x:v>
      </x:c>
      <x:c r="B25" s="43" t="str">
        <x:v>openspec/specs/vocabulary/spec.md</x:v>
      </x:c>
      <x:c r="C25" s="43" t="str">
        <x:v>Adjacent Spec</x:v>
      </x:c>
      <x:c r="D25" s="43" t="str">
        <x:v>Low</x:v>
      </x:c>
      <x:c r="E25" s="43" t="str">
        <x:v>Vocabulary reference</x:v>
      </x:c>
      <x:c r="F25" s="43" t="str">
        <x:v>origin/feature/practice-reduce-scope@da350b5d</x:v>
      </x:c>
      <x:c r="G25" s="43" t="str">
        <x:v>Separate KSH-5 scope</x:v>
      </x:c>
    </x:row>
    <x:row r="26" ht="48" customHeight="1">
      <x:c r="A26" s="43" t="str">
        <x:v>SRC-22</x:v>
      </x:c>
      <x:c r="B26" s="43" t="str">
        <x:v>README.md</x:v>
      </x:c>
      <x:c r="C26" s="43" t="str">
        <x:v>Repository Note</x:v>
      </x:c>
      <x:c r="D26" s="43" t="str">
        <x:v>Low</x:v>
      </x:c>
      <x:c r="E26" s="43" t="str">
        <x:v>Repository harness description</x:v>
      </x:c>
      <x:c r="F26" s="43" t="str">
        <x:v>origin/feature/practice-reduce-scope@da350b5d</x:v>
      </x:c>
      <x:c r="G26" s="43" t="str">
        <x:v>Not KSH runtime contract</x:v>
      </x:c>
    </x:row>
    <x:row r="27" ht="48" customHeight="1">
      <x:c r="A27" s="43" t="str">
        <x:v>SRC-23</x:v>
      </x:c>
      <x:c r="B27" s="43" t="str">
        <x:v>walkthrough.md</x:v>
      </x:c>
      <x:c r="C27" s="43" t="str">
        <x:v>Historical Walkthrough</x:v>
      </x:c>
      <x:c r="D27" s="43" t="str">
        <x:v>Low</x:v>
      </x:c>
      <x:c r="E27" s="43" t="str">
        <x:v>Older practice walkthrough</x:v>
      </x:c>
      <x:c r="F27" s="43" t="str">
        <x:v>origin/feature/practice-reduce-scope@da350b5d</x:v>
      </x:c>
      <x:c r="G27" s="43" t="str">
        <x:v>Contains retired paths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fdefe6867d0478e"/>
  </x:tableParts>
</x:worksheet>
</file>